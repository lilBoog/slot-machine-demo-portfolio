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說明" sheetId="1" state="visible" r:id="rId1"/>
    <sheet xmlns:r="http://schemas.openxmlformats.org/officeDocument/2006/relationships" name="遊戲設定" sheetId="2" state="visible" r:id="rId2"/>
    <sheet xmlns:r="http://schemas.openxmlformats.org/officeDocument/2006/relationships" name="原始資料" sheetId="3" state="visible" r:id="rId3"/>
    <sheet xmlns:r="http://schemas.openxmlformats.org/officeDocument/2006/relationships" name="日報" sheetId="4" state="visible" r:id="rId4"/>
    <sheet xmlns:r="http://schemas.openxmlformats.org/officeDocument/2006/relationships" name="週報" sheetId="5" state="visible" r:id="rId5"/>
    <sheet xmlns:r="http://schemas.openxmlformats.org/officeDocument/2006/relationships" name="版本比較" sheetId="6" state="visible" r:id="rId6"/>
    <sheet xmlns:r="http://schemas.openxmlformats.org/officeDocument/2006/relationships" name="圖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0.000%"/>
    <numFmt numFmtId="166" formatCode="yyyy-mm-dd"/>
    <numFmt numFmtId="167" formatCode="0.0"/>
    <numFmt numFmtId="168" formatCode="0.0%"/>
    <numFmt numFmtId="169" formatCode="0.000"/>
  </numFmts>
  <fonts count="8">
    <font>
      <name val="Calibri"/>
      <family val="2"/>
      <color theme="1"/>
      <sz val="11"/>
      <scheme val="minor"/>
    </font>
    <font>
      <name val="Microsoft JhengHei"/>
      <b val="1"/>
      <sz val="14"/>
    </font>
    <font>
      <name val="Microsoft JhengHei"/>
      <color rgb="00595959"/>
      <sz val="9"/>
    </font>
    <font>
      <name val="Microsoft JhengHei"/>
      <b val="1"/>
      <sz val="10"/>
    </font>
    <font>
      <name val="Microsoft JhengHei"/>
      <sz val="10"/>
    </font>
    <font>
      <name val="Microsoft JhengHei"/>
      <color rgb="000000FF"/>
      <sz val="10"/>
    </font>
    <font>
      <name val="Microsoft JhengHei"/>
      <color rgb="00008000"/>
      <sz val="10"/>
    </font>
    <font>
      <name val="Microsoft JhengHe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7A241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5" fillId="2" borderId="1" pivotButton="0" quotePrefix="0" xfId="0"/>
    <xf numFmtId="10" fontId="5" fillId="2" borderId="1" pivotButton="0" quotePrefix="0" xfId="0"/>
    <xf numFmtId="164" fontId="5" fillId="2" borderId="1" pivotButton="0" quotePrefix="0" xfId="0"/>
    <xf numFmtId="165" fontId="5" fillId="2" borderId="1" pivotButton="0" quotePrefix="0" xfId="0"/>
    <xf numFmtId="2" fontId="5" fillId="2" borderId="1" pivotButton="0" quotePrefix="0" xfId="0"/>
    <xf numFmtId="166" fontId="5" fillId="2" borderId="1" pivotButton="0" quotePrefix="0" xfId="0"/>
    <xf numFmtId="0" fontId="3" fillId="0" borderId="1" pivotButton="0" quotePrefix="0" xfId="0"/>
    <xf numFmtId="167" fontId="5" fillId="2" borderId="1" pivotButton="0" quotePrefix="0" xfId="0"/>
    <xf numFmtId="168" fontId="5" fillId="2" borderId="1" pivotButton="0" quotePrefix="0" xfId="0"/>
    <xf numFmtId="3" fontId="5" fillId="2" borderId="1" pivotButton="0" quotePrefix="0" xfId="0"/>
    <xf numFmtId="166" fontId="6" fillId="0" borderId="1" pivotButton="0" quotePrefix="0" xfId="0"/>
    <xf numFmtId="0" fontId="6" fillId="0" borderId="1" pivotButton="0" quotePrefix="0" xfId="0"/>
    <xf numFmtId="3" fontId="6" fillId="0" borderId="1" pivotButton="0" quotePrefix="0" xfId="0"/>
    <xf numFmtId="3" fontId="4" fillId="0" borderId="1" pivotButton="0" quotePrefix="0" xfId="0"/>
    <xf numFmtId="10" fontId="4" fillId="0" borderId="1" pivotButton="0" quotePrefix="0" xfId="0"/>
    <xf numFmtId="10" fontId="6" fillId="0" borderId="1" pivotButton="0" quotePrefix="0" xfId="0"/>
    <xf numFmtId="169" fontId="6" fillId="0" borderId="1" pivotButton="0" quotePrefix="0" xfId="0"/>
    <xf numFmtId="2" fontId="4" fillId="0" borderId="1" pivotButton="0" quotePrefix="0" xfId="0"/>
    <xf numFmtId="164" fontId="4" fillId="0" borderId="1" pivotButton="0" quotePrefix="0" xfId="0"/>
    <xf numFmtId="167" fontId="4" fillId="0" borderId="1" pivotButton="0" quotePrefix="0" xfId="0"/>
    <xf numFmtId="167" fontId="6" fillId="0" borderId="1" pivotButton="0" quotePrefix="0" xfId="0"/>
    <xf numFmtId="0" fontId="4" fillId="0" borderId="1" pivotButton="0" quotePrefix="0" xfId="0"/>
    <xf numFmtId="0" fontId="3" fillId="4" borderId="1" pivotButton="0" quotePrefix="0" xfId="0"/>
    <xf numFmtId="0" fontId="4" fillId="4" borderId="1" pivotButton="0" quotePrefix="0" xfId="0"/>
    <xf numFmtId="3" fontId="3" fillId="4" borderId="1" pivotButton="0" quotePrefix="0" xfId="0"/>
    <xf numFmtId="10" fontId="3" fillId="4" borderId="1" pivotButton="0" quotePrefix="0" xfId="0"/>
    <xf numFmtId="167" fontId="3" fillId="4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8D7D3"/>
        </patternFill>
      </fill>
    </dxf>
    <dxf>
      <font>
        <name val="Microsoft JhengHei"/>
        <b val="1"/>
        <color rgb="00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每日實際 RTP 與 z 檢定警示範圍</a:t>
            </a:r>
          </a:p>
        </rich>
      </tx>
    </title>
    <plotArea>
      <lineChart>
        <grouping val="standard"/>
        <ser>
          <idx val="0"/>
          <order val="0"/>
          <tx>
            <strRef>
              <f>'日報'!H1</f>
            </strRef>
          </tx>
          <spPr>
            <a:ln xmlns:a="http://schemas.openxmlformats.org/drawingml/2006/main" w="28000">
              <a:solidFill>
                <a:srgbClr val="A82C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'日報'!$A$2:$A$31</f>
            </numRef>
          </cat>
          <val>
            <numRef>
              <f>'日報'!$H$2:$H$31</f>
            </numRef>
          </val>
        </ser>
        <ser>
          <idx val="1"/>
          <order val="1"/>
          <tx>
            <strRef>
              <f>'日報'!I1</f>
            </strRef>
          </tx>
          <spPr>
            <a:ln xmlns:a="http://schemas.openxmlformats.org/drawingml/2006/main">
              <a:solidFill>
                <a:srgbClr val="33333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'日報'!$A$2:$A$31</f>
            </numRef>
          </cat>
          <val>
            <numRef>
              <f>'日報'!$I$2:$I$31</f>
            </numRef>
          </val>
        </ser>
        <ser>
          <idx val="2"/>
          <order val="2"/>
          <tx>
            <strRef>
              <f>'日報'!V1</f>
            </strRef>
          </tx>
          <spPr>
            <a:ln xmlns:a="http://schemas.openxmlformats.org/drawingml/2006/main">
              <a:solidFill>
                <a:srgbClr val="9AA2AC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'日報'!$A$2:$A$31</f>
            </numRef>
          </cat>
          <val>
            <numRef>
              <f>'日報'!$V$2:$V$31</f>
            </numRef>
          </val>
        </ser>
        <ser>
          <idx val="3"/>
          <order val="3"/>
          <tx>
            <strRef>
              <f>'日報'!W1</f>
            </strRef>
          </tx>
          <spPr>
            <a:ln xmlns:a="http://schemas.openxmlformats.org/drawingml/2006/main">
              <a:solidFill>
                <a:srgbClr val="9AA2AC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'日報'!$A$2:$A$31</f>
            </numRef>
          </cat>
          <val>
            <numRef>
              <f>'日報'!$W$2:$W$31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mm/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RTP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累計 RTP</a:t>
            </a:r>
          </a:p>
        </rich>
      </tx>
    </title>
    <plotArea>
      <lineChart>
        <grouping val="standard"/>
        <ser>
          <idx val="0"/>
          <order val="0"/>
          <tx>
            <strRef>
              <f>'日報'!S1</f>
            </strRef>
          </tx>
          <spPr>
            <a:ln xmlns:a="http://schemas.openxmlformats.org/drawingml/2006/main">
              <a:solidFill>
                <a:srgbClr val="2D5FA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'日報'!$A$2:$A$31</f>
            </numRef>
          </cat>
          <val>
            <numRef>
              <f>'日報'!$S$2:$S$31</f>
            </numRef>
          </val>
        </ser>
        <ser>
          <idx val="1"/>
          <order val="1"/>
          <tx>
            <strRef>
              <f>'日報'!I1</f>
            </strRef>
          </tx>
          <spPr>
            <a:ln xmlns:a="http://schemas.openxmlformats.org/drawingml/2006/main">
              <a:solidFill>
                <a:srgbClr val="33333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'日報'!$A$2:$A$31</f>
            </numRef>
          </cat>
          <val>
            <numRef>
              <f>'日報'!$I$2:$I$31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mm/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每週莊家淨收入（點）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'週報'!G3</f>
            </strRef>
          </tx>
          <spPr>
            <a:solidFill xmlns:a="http://schemas.openxmlformats.org/drawingml/2006/main">
              <a:srgbClr val="A0501A"/>
            </a:solidFill>
            <a:ln xmlns:a="http://schemas.openxmlformats.org/drawingml/2006/main">
              <a:prstDash val="solid"/>
            </a:ln>
          </spPr>
          <cat>
            <numRef>
              <f>'週報'!$A$4:$A$8</f>
            </numRef>
          </cat>
          <val>
            <numRef>
              <f>'週報'!$G$4:$G$8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報表</author>
  </authors>
  <commentList>
    <comment ref="B10" authorId="0" shapeId="0">
      <text>
        <t>每日檢查時建議用 3；改成 2 會大幅增加誤報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93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22</row>
      <rowOff>0</rowOff>
    </from>
    <ext cx="93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936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金鯉躍門 每日營運報表（2026 年 9 月）</t>
        </is>
      </c>
    </row>
    <row r="2">
      <c r="A2" s="2" t="inlineStr">
        <is>
          <t>示範資料：由 build_data.py 依遊戲數學模型模擬生成，非實際營運數據</t>
        </is>
      </c>
    </row>
    <row r="4">
      <c r="A4" s="3" t="inlineStr">
        <is>
          <t>每日操作步驟</t>
        </is>
      </c>
      <c r="B4" s="4" t="inlineStr"/>
    </row>
    <row r="5">
      <c r="A5" s="5" t="inlineStr">
        <is>
          <t>1</t>
        </is>
      </c>
      <c r="B5" s="4" t="inlineStr">
        <is>
          <t>在 jinli.db 執行 queries.sql 的 [Q01]–[Q03]，確認沒有重複紀錄、錯誤數值或缺漏日期</t>
        </is>
      </c>
    </row>
    <row r="6">
      <c r="A6" s="5" t="inlineStr">
        <is>
          <t>2</t>
        </is>
      </c>
      <c r="B6" s="4" t="inlineStr">
        <is>
          <t>執行 [Q04]，把結果貼到「原始資料」工作表（從 A2 開始，欄位順序相同）</t>
        </is>
      </c>
    </row>
    <row r="7">
      <c r="A7" s="5" t="inlineStr">
        <is>
          <t>3</t>
        </is>
      </c>
      <c r="B7" s="4" t="inlineStr">
        <is>
          <t>「日報」「週報」「版本比較」「圖表」會自動重算，不需要手動修改</t>
        </is>
      </c>
    </row>
    <row r="8">
      <c r="A8" s="5" t="inlineStr">
        <is>
          <t>4</t>
        </is>
      </c>
      <c r="B8" s="4" t="inlineStr">
        <is>
          <t>檢查「日報」狀態欄：標紅的「警示」要逐筆確認原因，並在備註欄說明</t>
        </is>
      </c>
    </row>
    <row r="9">
      <c r="A9" s="5" t="inlineStr">
        <is>
          <t>5</t>
        </is>
      </c>
      <c r="B9" s="4" t="inlineStr">
        <is>
          <t>與財務或後台的總投注核對一致後，寄出或更新共用檔案</t>
        </is>
      </c>
    </row>
    <row r="10">
      <c r="A10" s="3" t="inlineStr"/>
      <c r="B10" s="4" t="inlineStr"/>
    </row>
    <row r="11">
      <c r="A11" s="3" t="inlineStr">
        <is>
          <t>顏色說明</t>
        </is>
      </c>
      <c r="B11" s="4" t="inlineStr"/>
    </row>
    <row r="12">
      <c r="A12" s="6" t="inlineStr">
        <is>
          <t>黃底藍字</t>
        </is>
      </c>
      <c r="B12" s="4" t="inlineStr">
        <is>
          <t>輸入值：原始資料、遊戲設定、警示門檻。只有這些儲存格需要手動修改</t>
        </is>
      </c>
    </row>
    <row r="13">
      <c r="A13" s="3" t="inlineStr">
        <is>
          <t>黑字</t>
        </is>
      </c>
      <c r="B13" s="4" t="inlineStr">
        <is>
          <t>公式計算，請勿直接修改</t>
        </is>
      </c>
    </row>
    <row r="14">
      <c r="A14" s="7" t="inlineStr">
        <is>
          <t>綠字</t>
        </is>
      </c>
      <c r="B14" s="4" t="inlineStr">
        <is>
          <t>引用其他工作表的值</t>
        </is>
      </c>
    </row>
    <row r="15">
      <c r="A15" s="3" t="inlineStr"/>
      <c r="B15" s="4" t="inlineStr"/>
    </row>
    <row r="16">
      <c r="A16" s="3" t="inlineStr">
        <is>
          <t>欄位定義</t>
        </is>
      </c>
      <c r="B16" s="4" t="inlineStr"/>
    </row>
    <row r="17">
      <c r="A17" s="5" t="inlineStr">
        <is>
          <t>實際 RTP</t>
        </is>
      </c>
      <c r="B17" s="4" t="inlineStr">
        <is>
          <t>總派彩 ÷ 總投注。派彩包含該轉觸發的免費遊戲贏分</t>
        </is>
      </c>
    </row>
    <row r="18">
      <c r="A18" s="5" t="inlineStr">
        <is>
          <t>等效轉數</t>
        </is>
      </c>
      <c r="B18" s="4" t="inlineStr">
        <is>
          <t>總投注 ÷ 20。押注大小不同時，換算成「每線 1 點」的轉數，用來計算標準誤</t>
        </is>
      </c>
    </row>
    <row r="19">
      <c r="A19" s="5" t="inlineStr">
        <is>
          <t>標準誤</t>
        </is>
      </c>
      <c r="B19" s="4" t="inlineStr">
        <is>
          <t>σ ÷ √等效轉數。σ 為 數值規格表的單局標準差（× 總押注）</t>
        </is>
      </c>
    </row>
    <row r="20">
      <c r="A20" s="5" t="inlineStr">
        <is>
          <t>z 值</t>
        </is>
      </c>
      <c r="B20" s="4" t="inlineStr">
        <is>
          <t>(實際 RTP − 理論 RTP) ÷ 標準誤。|z| 超過門檻即警示</t>
        </is>
      </c>
    </row>
    <row r="21">
      <c r="A21" s="5" t="inlineStr">
        <is>
          <t>觸發偏差 z</t>
        </is>
      </c>
      <c r="B21" s="4" t="inlineStr">
        <is>
          <t>(實際觸發次數 − 期望觸發次數) ÷ √期望次數。觸發次數近似卜瓦松分布</t>
        </is>
      </c>
    </row>
    <row r="22">
      <c r="A22" s="5" t="inlineStr">
        <is>
          <t>累計 RTP</t>
        </is>
      </c>
      <c r="B22" s="4" t="inlineStr">
        <is>
          <t>月初至當日的總派彩 ÷ 總投注。轉數越多越接近理論值</t>
        </is>
      </c>
    </row>
    <row r="23">
      <c r="A23" s="3" t="inlineStr"/>
      <c r="B23" s="4" t="inlineStr"/>
    </row>
    <row r="24">
      <c r="A24" s="5" t="inlineStr">
        <is>
          <t>警示門檻為什麼用 3</t>
        </is>
      </c>
      <c r="B24" s="4" t="inlineStr">
        <is>
          <t>每天檢查一次，門檻 2 時單日誤報率 4.6%，30 天內至少誤報一次的機率約 75%；門檻 3 時約 7.8%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14" customWidth="1" min="5" max="5"/>
    <col width="12" customWidth="1" min="6" max="6"/>
    <col width="12" customWidth="1" min="7" max="7"/>
    <col width="46" customWidth="1" min="8" max="8"/>
  </cols>
  <sheetData>
    <row r="1">
      <c r="A1" s="1" t="inlineStr">
        <is>
          <t>遊戲設定（來源：games 資料表／數值規格表）</t>
        </is>
      </c>
    </row>
    <row r="4" ht="30" customHeight="1">
      <c r="A4" s="8" t="inlineStr">
        <is>
          <t>版本</t>
        </is>
      </c>
      <c r="B4" s="8" t="inlineStr">
        <is>
          <t>理論 RTP</t>
        </is>
      </c>
      <c r="C4" s="8" t="inlineStr">
        <is>
          <t>單局標準差 σ</t>
        </is>
      </c>
      <c r="D4" s="8" t="inlineStr">
        <is>
          <t>觸發率</t>
        </is>
      </c>
      <c r="E4" s="8" t="inlineStr">
        <is>
          <t>平均免費場次</t>
        </is>
      </c>
      <c r="F4" s="8" t="inlineStr">
        <is>
          <t>上線日</t>
        </is>
      </c>
      <c r="G4" s="8" t="inlineStr">
        <is>
          <t>結束日</t>
        </is>
      </c>
      <c r="H4" s="8" t="inlineStr">
        <is>
          <t>說明</t>
        </is>
      </c>
    </row>
    <row r="5">
      <c r="A5" s="9" t="inlineStr">
        <is>
          <t>v1.2</t>
        </is>
      </c>
      <c r="B5" s="10" t="n">
        <v>0.9697480000000001</v>
      </c>
      <c r="C5" s="11" t="n">
        <v>3.6796</v>
      </c>
      <c r="D5" s="12" t="n">
        <v>0.014685</v>
      </c>
      <c r="E5" s="13" t="n">
        <v>11.7213</v>
      </c>
      <c r="F5" s="14" t="n">
        <v>46266</v>
      </c>
      <c r="G5" s="14" t="n">
        <v>46285</v>
      </c>
      <c r="H5" s="9" t="inlineStr">
        <is>
          <t>正式版</t>
        </is>
      </c>
    </row>
    <row r="6">
      <c r="A6" s="9" t="inlineStr">
        <is>
          <t>v1.3</t>
        </is>
      </c>
      <c r="B6" s="10" t="n">
        <v>0.9697480000000001</v>
      </c>
      <c r="C6" s="11" t="n">
        <v>3.6796</v>
      </c>
      <c r="D6" s="12" t="n">
        <v>0.014685</v>
      </c>
      <c r="E6" s="13" t="n">
        <v>11.7213</v>
      </c>
      <c r="F6" s="14" t="n">
        <v>46286</v>
      </c>
      <c r="G6" s="14" t="n">
        <v>46289</v>
      </c>
      <c r="H6" s="9" t="inlineStr">
        <is>
          <t>介面改版；免費遊戲倍數誤設為 ×3（規格 ×2）</t>
        </is>
      </c>
    </row>
    <row r="7">
      <c r="A7" s="9" t="inlineStr">
        <is>
          <t>v1.3.1</t>
        </is>
      </c>
      <c r="B7" s="10" t="n">
        <v>0.9697480000000001</v>
      </c>
      <c r="C7" s="11" t="n">
        <v>3.6796</v>
      </c>
      <c r="D7" s="12" t="n">
        <v>0.014685</v>
      </c>
      <c r="E7" s="13" t="n">
        <v>11.7213</v>
      </c>
      <c r="F7" s="14" t="n">
        <v>46290</v>
      </c>
      <c r="G7" s="14" t="n">
        <v>46295</v>
      </c>
      <c r="H7" s="9" t="inlineStr">
        <is>
          <t>修正免費遊戲倍數</t>
        </is>
      </c>
    </row>
    <row r="10">
      <c r="A10" s="15" t="inlineStr">
        <is>
          <t>z 警示門檻</t>
        </is>
      </c>
      <c r="B10" s="16" t="n">
        <v>3</v>
      </c>
    </row>
    <row r="11">
      <c r="A11" s="15" t="inlineStr">
        <is>
          <t>固定區間 ±</t>
        </is>
      </c>
      <c r="B11" s="17" t="n">
        <v>0.03</v>
      </c>
      <c r="C11" s="2" t="inlineStr">
        <is>
          <t>對照用的簡單規則：實際 RTP 偏離理論值超過此幅度就警示</t>
        </is>
      </c>
    </row>
    <row r="12">
      <c r="A12" s="15" t="inlineStr">
        <is>
          <t>等效轉數基準</t>
        </is>
      </c>
      <c r="B12" s="18" t="n">
        <v>20</v>
      </c>
      <c r="C12" s="2" t="inlineStr">
        <is>
          <t>每線 1 點 × 20 線 = 每轉 20 點</t>
        </is>
      </c>
    </row>
    <row r="13">
      <c r="A13" s="2" t="inlineStr">
        <is>
          <t>理論 RTP、σ、觸發率依 數值規格表；v1.3 的規格與 v1.2 相同，實際上線版本的設定錯誤不會反映在理論值上，這正是要靠報表抓出來的差異。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1" customWidth="1" min="7" max="7"/>
    <col width="13" customWidth="1" min="8" max="8"/>
  </cols>
  <sheetData>
    <row r="1" ht="30" customHeight="1">
      <c r="A1" s="8" t="inlineStr">
        <is>
          <t>日期</t>
        </is>
      </c>
      <c r="B1" s="8" t="inlineStr">
        <is>
          <t>版本</t>
        </is>
      </c>
      <c r="C1" s="8" t="inlineStr">
        <is>
          <t>轉數</t>
        </is>
      </c>
      <c r="D1" s="8" t="inlineStr">
        <is>
          <t>玩家數</t>
        </is>
      </c>
      <c r="E1" s="8" t="inlineStr">
        <is>
          <t>總投注</t>
        </is>
      </c>
      <c r="F1" s="8" t="inlineStr">
        <is>
          <t>總派彩</t>
        </is>
      </c>
      <c r="G1" s="8" t="inlineStr">
        <is>
          <t>觸發次數</t>
        </is>
      </c>
      <c r="H1" s="8" t="inlineStr">
        <is>
          <t>最高單局倍數</t>
        </is>
      </c>
    </row>
    <row r="2">
      <c r="A2" s="14" t="n">
        <v>46266</v>
      </c>
      <c r="B2" s="9" t="inlineStr">
        <is>
          <t>v1.2</t>
        </is>
      </c>
      <c r="C2" s="18" t="n">
        <v>4704</v>
      </c>
      <c r="D2" s="18" t="n">
        <v>119</v>
      </c>
      <c r="E2" s="18" t="n">
        <v>121540</v>
      </c>
      <c r="F2" s="18" t="n">
        <v>121573</v>
      </c>
      <c r="G2" s="18" t="n">
        <v>70</v>
      </c>
      <c r="H2" s="16" t="n">
        <v>115.5</v>
      </c>
    </row>
    <row r="3">
      <c r="A3" s="14" t="n">
        <v>46267</v>
      </c>
      <c r="B3" s="9" t="inlineStr">
        <is>
          <t>v1.2</t>
        </is>
      </c>
      <c r="C3" s="18" t="n">
        <v>4430</v>
      </c>
      <c r="D3" s="18" t="n">
        <v>111</v>
      </c>
      <c r="E3" s="18" t="n">
        <v>130960</v>
      </c>
      <c r="F3" s="18" t="n">
        <v>128244</v>
      </c>
      <c r="G3" s="18" t="n">
        <v>71</v>
      </c>
      <c r="H3" s="16" t="n">
        <v>81.5</v>
      </c>
    </row>
    <row r="4">
      <c r="A4" s="14" t="n">
        <v>46268</v>
      </c>
      <c r="B4" s="9" t="inlineStr">
        <is>
          <t>v1.2</t>
        </is>
      </c>
      <c r="C4" s="18" t="n">
        <v>4829</v>
      </c>
      <c r="D4" s="18" t="n">
        <v>117</v>
      </c>
      <c r="E4" s="18" t="n">
        <v>120940</v>
      </c>
      <c r="F4" s="18" t="n">
        <v>120571</v>
      </c>
      <c r="G4" s="18" t="n">
        <v>80</v>
      </c>
      <c r="H4" s="16" t="n">
        <v>70.8</v>
      </c>
    </row>
    <row r="5">
      <c r="A5" s="14" t="n">
        <v>46269</v>
      </c>
      <c r="B5" s="9" t="inlineStr">
        <is>
          <t>v1.2</t>
        </is>
      </c>
      <c r="C5" s="18" t="n">
        <v>4959</v>
      </c>
      <c r="D5" s="18" t="n">
        <v>115</v>
      </c>
      <c r="E5" s="18" t="n">
        <v>135320</v>
      </c>
      <c r="F5" s="18" t="n">
        <v>136944</v>
      </c>
      <c r="G5" s="18" t="n">
        <v>77</v>
      </c>
      <c r="H5" s="16" t="n">
        <v>63</v>
      </c>
    </row>
    <row r="6">
      <c r="A6" s="14" t="n">
        <v>46270</v>
      </c>
      <c r="B6" s="9" t="inlineStr">
        <is>
          <t>v1.2</t>
        </is>
      </c>
      <c r="C6" s="18" t="n">
        <v>5533</v>
      </c>
      <c r="D6" s="18" t="n">
        <v>131</v>
      </c>
      <c r="E6" s="18" t="n">
        <v>174000</v>
      </c>
      <c r="F6" s="18" t="n">
        <v>151539</v>
      </c>
      <c r="G6" s="18" t="n">
        <v>87</v>
      </c>
      <c r="H6" s="16" t="n">
        <v>57.9</v>
      </c>
    </row>
    <row r="7">
      <c r="A7" s="14" t="n">
        <v>46271</v>
      </c>
      <c r="B7" s="9" t="inlineStr">
        <is>
          <t>v1.2</t>
        </is>
      </c>
      <c r="C7" s="18" t="n">
        <v>5436</v>
      </c>
      <c r="D7" s="18" t="n">
        <v>136</v>
      </c>
      <c r="E7" s="18" t="n">
        <v>177880</v>
      </c>
      <c r="F7" s="18" t="n">
        <v>160642</v>
      </c>
      <c r="G7" s="18" t="n">
        <v>86</v>
      </c>
      <c r="H7" s="16" t="n">
        <v>76.90000000000001</v>
      </c>
    </row>
    <row r="8">
      <c r="A8" s="14" t="n">
        <v>46272</v>
      </c>
      <c r="B8" s="9" t="inlineStr">
        <is>
          <t>v1.2</t>
        </is>
      </c>
      <c r="C8" s="18" t="n">
        <v>5193</v>
      </c>
      <c r="D8" s="18" t="n">
        <v>134</v>
      </c>
      <c r="E8" s="18" t="n">
        <v>142680</v>
      </c>
      <c r="F8" s="18" t="n">
        <v>138974</v>
      </c>
      <c r="G8" s="18" t="n">
        <v>87</v>
      </c>
      <c r="H8" s="16" t="n">
        <v>85.40000000000001</v>
      </c>
    </row>
    <row r="9">
      <c r="A9" s="14" t="n">
        <v>46273</v>
      </c>
      <c r="B9" s="9" t="inlineStr">
        <is>
          <t>v1.2</t>
        </is>
      </c>
      <c r="C9" s="18" t="n">
        <v>5509</v>
      </c>
      <c r="D9" s="18" t="n">
        <v>135</v>
      </c>
      <c r="E9" s="18" t="n">
        <v>159740</v>
      </c>
      <c r="F9" s="18" t="n">
        <v>148620</v>
      </c>
      <c r="G9" s="18" t="n">
        <v>85</v>
      </c>
      <c r="H9" s="16" t="n">
        <v>86.59999999999999</v>
      </c>
    </row>
    <row r="10">
      <c r="A10" s="14" t="n">
        <v>46274</v>
      </c>
      <c r="B10" s="9" t="inlineStr">
        <is>
          <t>v1.2</t>
        </is>
      </c>
      <c r="C10" s="18" t="n">
        <v>6274</v>
      </c>
      <c r="D10" s="18" t="n">
        <v>157</v>
      </c>
      <c r="E10" s="18" t="n">
        <v>169180</v>
      </c>
      <c r="F10" s="18" t="n">
        <v>161970</v>
      </c>
      <c r="G10" s="18" t="n">
        <v>84</v>
      </c>
      <c r="H10" s="16" t="n">
        <v>100</v>
      </c>
    </row>
    <row r="11">
      <c r="A11" s="14" t="n">
        <v>46275</v>
      </c>
      <c r="B11" s="9" t="inlineStr">
        <is>
          <t>v1.2</t>
        </is>
      </c>
      <c r="C11" s="18" t="n">
        <v>5234</v>
      </c>
      <c r="D11" s="18" t="n">
        <v>145</v>
      </c>
      <c r="E11" s="18" t="n">
        <v>155320</v>
      </c>
      <c r="F11" s="18" t="n">
        <v>164496</v>
      </c>
      <c r="G11" s="18" t="n">
        <v>91</v>
      </c>
      <c r="H11" s="16" t="n">
        <v>122.5</v>
      </c>
    </row>
    <row r="12">
      <c r="A12" s="14" t="n">
        <v>46276</v>
      </c>
      <c r="B12" s="9" t="inlineStr">
        <is>
          <t>v1.2</t>
        </is>
      </c>
      <c r="C12" s="18" t="n">
        <v>4990</v>
      </c>
      <c r="D12" s="18" t="n">
        <v>149</v>
      </c>
      <c r="E12" s="18" t="n">
        <v>150880</v>
      </c>
      <c r="F12" s="18" t="n">
        <v>150158</v>
      </c>
      <c r="G12" s="18" t="n">
        <v>81</v>
      </c>
      <c r="H12" s="16" t="n">
        <v>84.40000000000001</v>
      </c>
    </row>
    <row r="13">
      <c r="A13" s="14" t="n">
        <v>46277</v>
      </c>
      <c r="B13" s="9" t="inlineStr">
        <is>
          <t>v1.2</t>
        </is>
      </c>
      <c r="C13" s="18" t="n">
        <v>6131</v>
      </c>
      <c r="D13" s="18" t="n">
        <v>154</v>
      </c>
      <c r="E13" s="18" t="n">
        <v>208040</v>
      </c>
      <c r="F13" s="18" t="n">
        <v>211688</v>
      </c>
      <c r="G13" s="18" t="n">
        <v>95</v>
      </c>
      <c r="H13" s="16" t="n">
        <v>75</v>
      </c>
    </row>
    <row r="14">
      <c r="A14" s="14" t="n">
        <v>46278</v>
      </c>
      <c r="B14" s="9" t="inlineStr">
        <is>
          <t>v1.2</t>
        </is>
      </c>
      <c r="C14" s="18" t="n">
        <v>6485</v>
      </c>
      <c r="D14" s="18" t="n">
        <v>154</v>
      </c>
      <c r="E14" s="18" t="n">
        <v>209360</v>
      </c>
      <c r="F14" s="18" t="n">
        <v>197428</v>
      </c>
      <c r="G14" s="18" t="n">
        <v>87</v>
      </c>
      <c r="H14" s="16" t="n">
        <v>73.40000000000001</v>
      </c>
    </row>
    <row r="15">
      <c r="A15" s="14" t="n">
        <v>46279</v>
      </c>
      <c r="B15" s="9" t="inlineStr">
        <is>
          <t>v1.2</t>
        </is>
      </c>
      <c r="C15" s="18" t="n">
        <v>6461</v>
      </c>
      <c r="D15" s="18" t="n">
        <v>149</v>
      </c>
      <c r="E15" s="18" t="n">
        <v>188300</v>
      </c>
      <c r="F15" s="18" t="n">
        <v>184432</v>
      </c>
      <c r="G15" s="18" t="n">
        <v>96</v>
      </c>
      <c r="H15" s="16" t="n">
        <v>62.6</v>
      </c>
    </row>
    <row r="16">
      <c r="A16" s="14" t="n">
        <v>46280</v>
      </c>
      <c r="B16" s="9" t="inlineStr">
        <is>
          <t>v1.2</t>
        </is>
      </c>
      <c r="C16" s="18" t="n">
        <v>6349</v>
      </c>
      <c r="D16" s="18" t="n">
        <v>159</v>
      </c>
      <c r="E16" s="18" t="n">
        <v>186100</v>
      </c>
      <c r="F16" s="18" t="n">
        <v>179363</v>
      </c>
      <c r="G16" s="18" t="n">
        <v>70</v>
      </c>
      <c r="H16" s="16" t="n">
        <v>107.2</v>
      </c>
    </row>
    <row r="17">
      <c r="A17" s="14" t="n">
        <v>46281</v>
      </c>
      <c r="B17" s="9" t="inlineStr">
        <is>
          <t>v1.2</t>
        </is>
      </c>
      <c r="C17" s="18" t="n">
        <v>6538</v>
      </c>
      <c r="D17" s="18" t="n">
        <v>154</v>
      </c>
      <c r="E17" s="18" t="n">
        <v>171520</v>
      </c>
      <c r="F17" s="18" t="n">
        <v>171825</v>
      </c>
      <c r="G17" s="18" t="n">
        <v>114</v>
      </c>
      <c r="H17" s="16" t="n">
        <v>71.5</v>
      </c>
    </row>
    <row r="18">
      <c r="A18" s="14" t="n">
        <v>46282</v>
      </c>
      <c r="B18" s="9" t="inlineStr">
        <is>
          <t>v1.2</t>
        </is>
      </c>
      <c r="C18" s="18" t="n">
        <v>5667</v>
      </c>
      <c r="D18" s="18" t="n">
        <v>153</v>
      </c>
      <c r="E18" s="18" t="n">
        <v>178940</v>
      </c>
      <c r="F18" s="18" t="n">
        <v>152579</v>
      </c>
      <c r="G18" s="18" t="n">
        <v>76</v>
      </c>
      <c r="H18" s="16" t="n">
        <v>47.8</v>
      </c>
    </row>
    <row r="19">
      <c r="A19" s="14" t="n">
        <v>46283</v>
      </c>
      <c r="B19" s="9" t="inlineStr">
        <is>
          <t>v1.2</t>
        </is>
      </c>
      <c r="C19" s="18" t="n">
        <v>6370</v>
      </c>
      <c r="D19" s="18" t="n">
        <v>172</v>
      </c>
      <c r="E19" s="18" t="n">
        <v>193580</v>
      </c>
      <c r="F19" s="18" t="n">
        <v>175704</v>
      </c>
      <c r="G19" s="18" t="n">
        <v>101</v>
      </c>
      <c r="H19" s="16" t="n">
        <v>153.8</v>
      </c>
    </row>
    <row r="20">
      <c r="A20" s="14" t="n">
        <v>46284</v>
      </c>
      <c r="B20" s="9" t="inlineStr">
        <is>
          <t>v1.2</t>
        </is>
      </c>
      <c r="C20" s="18" t="n">
        <v>7266</v>
      </c>
      <c r="D20" s="18" t="n">
        <v>167</v>
      </c>
      <c r="E20" s="18" t="n">
        <v>228940</v>
      </c>
      <c r="F20" s="18" t="n">
        <v>224303</v>
      </c>
      <c r="G20" s="18" t="n">
        <v>113</v>
      </c>
      <c r="H20" s="16" t="n">
        <v>111.9</v>
      </c>
    </row>
    <row r="21">
      <c r="A21" s="14" t="n">
        <v>46285</v>
      </c>
      <c r="B21" s="9" t="inlineStr">
        <is>
          <t>v1.2</t>
        </is>
      </c>
      <c r="C21" s="18" t="n">
        <v>6866</v>
      </c>
      <c r="D21" s="18" t="n">
        <v>160</v>
      </c>
      <c r="E21" s="18" t="n">
        <v>230240</v>
      </c>
      <c r="F21" s="18" t="n">
        <v>218799</v>
      </c>
      <c r="G21" s="18" t="n">
        <v>109</v>
      </c>
      <c r="H21" s="16" t="n">
        <v>114</v>
      </c>
    </row>
    <row r="22">
      <c r="A22" s="14" t="n">
        <v>46286</v>
      </c>
      <c r="B22" s="9" t="inlineStr">
        <is>
          <t>v1.3</t>
        </is>
      </c>
      <c r="C22" s="18" t="n">
        <v>7869</v>
      </c>
      <c r="D22" s="18" t="n">
        <v>168</v>
      </c>
      <c r="E22" s="18" t="n">
        <v>227740</v>
      </c>
      <c r="F22" s="18" t="n">
        <v>247085</v>
      </c>
      <c r="G22" s="18" t="n">
        <v>107</v>
      </c>
      <c r="H22" s="16" t="n">
        <v>103.7</v>
      </c>
    </row>
    <row r="23">
      <c r="A23" s="14" t="n">
        <v>46287</v>
      </c>
      <c r="B23" s="9" t="inlineStr">
        <is>
          <t>v1.3</t>
        </is>
      </c>
      <c r="C23" s="18" t="n">
        <v>7437</v>
      </c>
      <c r="D23" s="18" t="n">
        <v>170</v>
      </c>
      <c r="E23" s="18" t="n">
        <v>208720</v>
      </c>
      <c r="F23" s="18" t="n">
        <v>228647</v>
      </c>
      <c r="G23" s="18" t="n">
        <v>114</v>
      </c>
      <c r="H23" s="16" t="n">
        <v>113.2</v>
      </c>
    </row>
    <row r="24">
      <c r="A24" s="14" t="n">
        <v>46288</v>
      </c>
      <c r="B24" s="9" t="inlineStr">
        <is>
          <t>v1.3</t>
        </is>
      </c>
      <c r="C24" s="18" t="n">
        <v>7247</v>
      </c>
      <c r="D24" s="18" t="n">
        <v>189</v>
      </c>
      <c r="E24" s="18" t="n">
        <v>203940</v>
      </c>
      <c r="F24" s="18" t="n">
        <v>230112</v>
      </c>
      <c r="G24" s="18" t="n">
        <v>112</v>
      </c>
      <c r="H24" s="16" t="n">
        <v>206.6</v>
      </c>
    </row>
    <row r="25">
      <c r="A25" s="14" t="n">
        <v>46289</v>
      </c>
      <c r="B25" s="9" t="inlineStr">
        <is>
          <t>v1.3</t>
        </is>
      </c>
      <c r="C25" s="18" t="n">
        <v>7091</v>
      </c>
      <c r="D25" s="18" t="n">
        <v>183</v>
      </c>
      <c r="E25" s="18" t="n">
        <v>215040</v>
      </c>
      <c r="F25" s="18" t="n">
        <v>242244</v>
      </c>
      <c r="G25" s="18" t="n">
        <v>126</v>
      </c>
      <c r="H25" s="16" t="n">
        <v>125.5</v>
      </c>
    </row>
    <row r="26">
      <c r="A26" s="14" t="n">
        <v>46290</v>
      </c>
      <c r="B26" s="9" t="inlineStr">
        <is>
          <t>v1.3.1</t>
        </is>
      </c>
      <c r="C26" s="18" t="n">
        <v>7995</v>
      </c>
      <c r="D26" s="18" t="n">
        <v>189</v>
      </c>
      <c r="E26" s="18" t="n">
        <v>248360</v>
      </c>
      <c r="F26" s="18" t="n">
        <v>248804</v>
      </c>
      <c r="G26" s="18" t="n">
        <v>122</v>
      </c>
      <c r="H26" s="16" t="n">
        <v>159.4</v>
      </c>
    </row>
    <row r="27">
      <c r="A27" s="14" t="n">
        <v>46291</v>
      </c>
      <c r="B27" s="9" t="inlineStr">
        <is>
          <t>v1.3.1</t>
        </is>
      </c>
      <c r="C27" s="18" t="n">
        <v>7403</v>
      </c>
      <c r="D27" s="18" t="n">
        <v>182</v>
      </c>
      <c r="E27" s="18" t="n">
        <v>230140</v>
      </c>
      <c r="F27" s="18" t="n">
        <v>238969</v>
      </c>
      <c r="G27" s="18" t="n">
        <v>112</v>
      </c>
      <c r="H27" s="16" t="n">
        <v>111.8</v>
      </c>
    </row>
    <row r="28">
      <c r="A28" s="14" t="n">
        <v>46292</v>
      </c>
      <c r="B28" s="9" t="inlineStr">
        <is>
          <t>v1.3.1</t>
        </is>
      </c>
      <c r="C28" s="18" t="n">
        <v>7944</v>
      </c>
      <c r="D28" s="18" t="n">
        <v>192</v>
      </c>
      <c r="E28" s="18" t="n">
        <v>222060</v>
      </c>
      <c r="F28" s="18" t="n">
        <v>222499</v>
      </c>
      <c r="G28" s="18" t="n">
        <v>156</v>
      </c>
      <c r="H28" s="16" t="n">
        <v>97</v>
      </c>
    </row>
    <row r="29">
      <c r="A29" s="14" t="n">
        <v>46293</v>
      </c>
      <c r="B29" s="9" t="inlineStr">
        <is>
          <t>v1.3.1</t>
        </is>
      </c>
      <c r="C29" s="18" t="n">
        <v>7052</v>
      </c>
      <c r="D29" s="18" t="n">
        <v>182</v>
      </c>
      <c r="E29" s="18" t="n">
        <v>235900</v>
      </c>
      <c r="F29" s="18" t="n">
        <v>244005</v>
      </c>
      <c r="G29" s="18" t="n">
        <v>139</v>
      </c>
      <c r="H29" s="16" t="n">
        <v>81.59999999999999</v>
      </c>
    </row>
    <row r="30">
      <c r="A30" s="14" t="n">
        <v>46294</v>
      </c>
      <c r="B30" s="9" t="inlineStr">
        <is>
          <t>v1.3.1</t>
        </is>
      </c>
      <c r="C30" s="18" t="n">
        <v>8030</v>
      </c>
      <c r="D30" s="18" t="n">
        <v>188</v>
      </c>
      <c r="E30" s="18" t="n">
        <v>225760</v>
      </c>
      <c r="F30" s="18" t="n">
        <v>223333</v>
      </c>
      <c r="G30" s="18" t="n">
        <v>98</v>
      </c>
      <c r="H30" s="16" t="n">
        <v>110.7</v>
      </c>
    </row>
    <row r="31">
      <c r="A31" s="14" t="n">
        <v>46295</v>
      </c>
      <c r="B31" s="9" t="inlineStr">
        <is>
          <t>v1.3.1</t>
        </is>
      </c>
      <c r="C31" s="18" t="n">
        <v>7949</v>
      </c>
      <c r="D31" s="18" t="n">
        <v>193</v>
      </c>
      <c r="E31" s="18" t="n">
        <v>228640</v>
      </c>
      <c r="F31" s="18" t="n">
        <v>226643</v>
      </c>
      <c r="G31" s="18" t="n">
        <v>126</v>
      </c>
      <c r="H31" s="16" t="n">
        <v>95.3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9" customWidth="1" min="3" max="3"/>
    <col width="8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8" customWidth="1" min="10" max="10"/>
    <col width="10" customWidth="1" min="11" max="11"/>
    <col width="9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11" customWidth="1" min="18" max="18"/>
    <col width="10" customWidth="1" min="19" max="19"/>
    <col width="8" customWidth="1" min="20" max="20"/>
    <col width="9" customWidth="1" min="21" max="21"/>
    <col width="10" customWidth="1" min="22" max="22"/>
    <col width="10" customWidth="1" min="23" max="23"/>
    <col width="36" customWidth="1" min="24" max="24"/>
  </cols>
  <sheetData>
    <row r="1" ht="30" customHeight="1">
      <c r="A1" s="8" t="inlineStr">
        <is>
          <t>日期</t>
        </is>
      </c>
      <c r="B1" s="8" t="inlineStr">
        <is>
          <t>版本</t>
        </is>
      </c>
      <c r="C1" s="8" t="inlineStr">
        <is>
          <t>轉數</t>
        </is>
      </c>
      <c r="D1" s="8" t="inlineStr">
        <is>
          <t>玩家數</t>
        </is>
      </c>
      <c r="E1" s="8" t="inlineStr">
        <is>
          <t>總投注</t>
        </is>
      </c>
      <c r="F1" s="8" t="inlineStr">
        <is>
          <t>總派彩</t>
        </is>
      </c>
      <c r="G1" s="8" t="inlineStr">
        <is>
          <t>莊家淨收入</t>
        </is>
      </c>
      <c r="H1" s="8" t="inlineStr">
        <is>
          <t>實際 RTP</t>
        </is>
      </c>
      <c r="I1" s="8" t="inlineStr">
        <is>
          <t>理論 RTP</t>
        </is>
      </c>
      <c r="J1" s="8" t="inlineStr">
        <is>
          <t>σ</t>
        </is>
      </c>
      <c r="K1" s="8" t="inlineStr">
        <is>
          <t>等效轉數</t>
        </is>
      </c>
      <c r="L1" s="8" t="inlineStr">
        <is>
          <t>標準誤</t>
        </is>
      </c>
      <c r="M1" s="8" t="inlineStr">
        <is>
          <t>z 值</t>
        </is>
      </c>
      <c r="N1" s="8" t="inlineStr">
        <is>
          <t>p 值</t>
        </is>
      </c>
      <c r="O1" s="8" t="inlineStr">
        <is>
          <t>觸發次數</t>
        </is>
      </c>
      <c r="P1" s="8" t="inlineStr">
        <is>
          <t>期望觸發</t>
        </is>
      </c>
      <c r="Q1" s="8" t="inlineStr">
        <is>
          <t>觸發偏差 z</t>
        </is>
      </c>
      <c r="R1" s="8" t="inlineStr">
        <is>
          <t>最高單局倍數</t>
        </is>
      </c>
      <c r="S1" s="8" t="inlineStr">
        <is>
          <t>累計 RTP</t>
        </is>
      </c>
      <c r="T1" s="8" t="inlineStr">
        <is>
          <t>z 檢定</t>
        </is>
      </c>
      <c r="U1" s="8" t="inlineStr">
        <is>
          <t>固定區間</t>
        </is>
      </c>
      <c r="V1" s="8" t="inlineStr">
        <is>
          <t>警示上界</t>
        </is>
      </c>
      <c r="W1" s="8" t="inlineStr">
        <is>
          <t>警示下界</t>
        </is>
      </c>
      <c r="X1" s="8" t="inlineStr">
        <is>
          <t>備註</t>
        </is>
      </c>
    </row>
    <row r="2">
      <c r="A2" s="19">
        <f>原始資料!A2</f>
        <v/>
      </c>
      <c r="B2" s="20">
        <f>原始資料!B2</f>
        <v/>
      </c>
      <c r="C2" s="21">
        <f>原始資料!C2</f>
        <v/>
      </c>
      <c r="D2" s="21">
        <f>原始資料!D2</f>
        <v/>
      </c>
      <c r="E2" s="21">
        <f>原始資料!E2</f>
        <v/>
      </c>
      <c r="F2" s="21">
        <f>原始資料!F2</f>
        <v/>
      </c>
      <c r="G2" s="22">
        <f>E2-F2</f>
        <v/>
      </c>
      <c r="H2" s="23">
        <f>IFERROR(F2/E2,0)</f>
        <v/>
      </c>
      <c r="I2" s="24">
        <f>INDEX(遊戲設定!$B$5:$B$9,MATCH(B2,遊戲設定!$A$5:$A$9,0))</f>
        <v/>
      </c>
      <c r="J2" s="25">
        <f>INDEX(遊戲設定!$C$5:$C$9,MATCH(B2,遊戲設定!$A$5:$A$9,0))</f>
        <v/>
      </c>
      <c r="K2" s="22">
        <f>E2/遊戲設定!$B$12</f>
        <v/>
      </c>
      <c r="L2" s="23">
        <f>J2/SQRT(K2)</f>
        <v/>
      </c>
      <c r="M2" s="26">
        <f>(H2-I2)/L2</f>
        <v/>
      </c>
      <c r="N2" s="27">
        <f>2*(1-NORMSDIST(ABS(M2)))</f>
        <v/>
      </c>
      <c r="O2" s="21">
        <f>原始資料!G2</f>
        <v/>
      </c>
      <c r="P2" s="28">
        <f>C2*INDEX(遊戲設定!$D$5:$D$9,MATCH(B2,遊戲設定!$A$5:$A$9,0))</f>
        <v/>
      </c>
      <c r="Q2" s="26">
        <f>(O2-P2)/SQRT(P2)</f>
        <v/>
      </c>
      <c r="R2" s="29">
        <f>原始資料!H2</f>
        <v/>
      </c>
      <c r="S2" s="23">
        <f>SUM($F$2:F2)/SUM($E$2:E2)</f>
        <v/>
      </c>
      <c r="T2" s="30">
        <f>IF(ABS(M2)&gt;遊戲設定!$B$10,"警示","正常")</f>
        <v/>
      </c>
      <c r="U2" s="30">
        <f>IF(ABS(H2-I2)&gt;遊戲設定!$B$11,"警示","正常")</f>
        <v/>
      </c>
      <c r="V2" s="23">
        <f>I2+遊戲設定!$B$10*L2</f>
        <v/>
      </c>
      <c r="W2" s="23">
        <f>I2-遊戲設定!$B$10*L2</f>
        <v/>
      </c>
      <c r="X2" s="30" t="n"/>
    </row>
    <row r="3">
      <c r="A3" s="19">
        <f>原始資料!A3</f>
        <v/>
      </c>
      <c r="B3" s="20">
        <f>原始資料!B3</f>
        <v/>
      </c>
      <c r="C3" s="21">
        <f>原始資料!C3</f>
        <v/>
      </c>
      <c r="D3" s="21">
        <f>原始資料!D3</f>
        <v/>
      </c>
      <c r="E3" s="21">
        <f>原始資料!E3</f>
        <v/>
      </c>
      <c r="F3" s="21">
        <f>原始資料!F3</f>
        <v/>
      </c>
      <c r="G3" s="22">
        <f>E3-F3</f>
        <v/>
      </c>
      <c r="H3" s="23">
        <f>IFERROR(F3/E3,0)</f>
        <v/>
      </c>
      <c r="I3" s="24">
        <f>INDEX(遊戲設定!$B$5:$B$9,MATCH(B3,遊戲設定!$A$5:$A$9,0))</f>
        <v/>
      </c>
      <c r="J3" s="25">
        <f>INDEX(遊戲設定!$C$5:$C$9,MATCH(B3,遊戲設定!$A$5:$A$9,0))</f>
        <v/>
      </c>
      <c r="K3" s="22">
        <f>E3/遊戲設定!$B$12</f>
        <v/>
      </c>
      <c r="L3" s="23">
        <f>J3/SQRT(K3)</f>
        <v/>
      </c>
      <c r="M3" s="26">
        <f>(H3-I3)/L3</f>
        <v/>
      </c>
      <c r="N3" s="27">
        <f>2*(1-NORMSDIST(ABS(M3)))</f>
        <v/>
      </c>
      <c r="O3" s="21">
        <f>原始資料!G3</f>
        <v/>
      </c>
      <c r="P3" s="28">
        <f>C3*INDEX(遊戲設定!$D$5:$D$9,MATCH(B3,遊戲設定!$A$5:$A$9,0))</f>
        <v/>
      </c>
      <c r="Q3" s="26">
        <f>(O3-P3)/SQRT(P3)</f>
        <v/>
      </c>
      <c r="R3" s="29">
        <f>原始資料!H3</f>
        <v/>
      </c>
      <c r="S3" s="23">
        <f>SUM($F$2:F3)/SUM($E$2:E3)</f>
        <v/>
      </c>
      <c r="T3" s="30">
        <f>IF(ABS(M3)&gt;遊戲設定!$B$10,"警示","正常")</f>
        <v/>
      </c>
      <c r="U3" s="30">
        <f>IF(ABS(H3-I3)&gt;遊戲設定!$B$11,"警示","正常")</f>
        <v/>
      </c>
      <c r="V3" s="23">
        <f>I3+遊戲設定!$B$10*L3</f>
        <v/>
      </c>
      <c r="W3" s="23">
        <f>I3-遊戲設定!$B$10*L3</f>
        <v/>
      </c>
      <c r="X3" s="30" t="n"/>
    </row>
    <row r="4">
      <c r="A4" s="19">
        <f>原始資料!A4</f>
        <v/>
      </c>
      <c r="B4" s="20">
        <f>原始資料!B4</f>
        <v/>
      </c>
      <c r="C4" s="21">
        <f>原始資料!C4</f>
        <v/>
      </c>
      <c r="D4" s="21">
        <f>原始資料!D4</f>
        <v/>
      </c>
      <c r="E4" s="21">
        <f>原始資料!E4</f>
        <v/>
      </c>
      <c r="F4" s="21">
        <f>原始資料!F4</f>
        <v/>
      </c>
      <c r="G4" s="22">
        <f>E4-F4</f>
        <v/>
      </c>
      <c r="H4" s="23">
        <f>IFERROR(F4/E4,0)</f>
        <v/>
      </c>
      <c r="I4" s="24">
        <f>INDEX(遊戲設定!$B$5:$B$9,MATCH(B4,遊戲設定!$A$5:$A$9,0))</f>
        <v/>
      </c>
      <c r="J4" s="25">
        <f>INDEX(遊戲設定!$C$5:$C$9,MATCH(B4,遊戲設定!$A$5:$A$9,0))</f>
        <v/>
      </c>
      <c r="K4" s="22">
        <f>E4/遊戲設定!$B$12</f>
        <v/>
      </c>
      <c r="L4" s="23">
        <f>J4/SQRT(K4)</f>
        <v/>
      </c>
      <c r="M4" s="26">
        <f>(H4-I4)/L4</f>
        <v/>
      </c>
      <c r="N4" s="27">
        <f>2*(1-NORMSDIST(ABS(M4)))</f>
        <v/>
      </c>
      <c r="O4" s="21">
        <f>原始資料!G4</f>
        <v/>
      </c>
      <c r="P4" s="28">
        <f>C4*INDEX(遊戲設定!$D$5:$D$9,MATCH(B4,遊戲設定!$A$5:$A$9,0))</f>
        <v/>
      </c>
      <c r="Q4" s="26">
        <f>(O4-P4)/SQRT(P4)</f>
        <v/>
      </c>
      <c r="R4" s="29">
        <f>原始資料!H4</f>
        <v/>
      </c>
      <c r="S4" s="23">
        <f>SUM($F$2:F4)/SUM($E$2:E4)</f>
        <v/>
      </c>
      <c r="T4" s="30">
        <f>IF(ABS(M4)&gt;遊戲設定!$B$10,"警示","正常")</f>
        <v/>
      </c>
      <c r="U4" s="30">
        <f>IF(ABS(H4-I4)&gt;遊戲設定!$B$11,"警示","正常")</f>
        <v/>
      </c>
      <c r="V4" s="23">
        <f>I4+遊戲設定!$B$10*L4</f>
        <v/>
      </c>
      <c r="W4" s="23">
        <f>I4-遊戲設定!$B$10*L4</f>
        <v/>
      </c>
      <c r="X4" s="30" t="n"/>
    </row>
    <row r="5">
      <c r="A5" s="19">
        <f>原始資料!A5</f>
        <v/>
      </c>
      <c r="B5" s="20">
        <f>原始資料!B5</f>
        <v/>
      </c>
      <c r="C5" s="21">
        <f>原始資料!C5</f>
        <v/>
      </c>
      <c r="D5" s="21">
        <f>原始資料!D5</f>
        <v/>
      </c>
      <c r="E5" s="21">
        <f>原始資料!E5</f>
        <v/>
      </c>
      <c r="F5" s="21">
        <f>原始資料!F5</f>
        <v/>
      </c>
      <c r="G5" s="22">
        <f>E5-F5</f>
        <v/>
      </c>
      <c r="H5" s="23">
        <f>IFERROR(F5/E5,0)</f>
        <v/>
      </c>
      <c r="I5" s="24">
        <f>INDEX(遊戲設定!$B$5:$B$9,MATCH(B5,遊戲設定!$A$5:$A$9,0))</f>
        <v/>
      </c>
      <c r="J5" s="25">
        <f>INDEX(遊戲設定!$C$5:$C$9,MATCH(B5,遊戲設定!$A$5:$A$9,0))</f>
        <v/>
      </c>
      <c r="K5" s="22">
        <f>E5/遊戲設定!$B$12</f>
        <v/>
      </c>
      <c r="L5" s="23">
        <f>J5/SQRT(K5)</f>
        <v/>
      </c>
      <c r="M5" s="26">
        <f>(H5-I5)/L5</f>
        <v/>
      </c>
      <c r="N5" s="27">
        <f>2*(1-NORMSDIST(ABS(M5)))</f>
        <v/>
      </c>
      <c r="O5" s="21">
        <f>原始資料!G5</f>
        <v/>
      </c>
      <c r="P5" s="28">
        <f>C5*INDEX(遊戲設定!$D$5:$D$9,MATCH(B5,遊戲設定!$A$5:$A$9,0))</f>
        <v/>
      </c>
      <c r="Q5" s="26">
        <f>(O5-P5)/SQRT(P5)</f>
        <v/>
      </c>
      <c r="R5" s="29">
        <f>原始資料!H5</f>
        <v/>
      </c>
      <c r="S5" s="23">
        <f>SUM($F$2:F5)/SUM($E$2:E5)</f>
        <v/>
      </c>
      <c r="T5" s="30">
        <f>IF(ABS(M5)&gt;遊戲設定!$B$10,"警示","正常")</f>
        <v/>
      </c>
      <c r="U5" s="30">
        <f>IF(ABS(H5-I5)&gt;遊戲設定!$B$11,"警示","正常")</f>
        <v/>
      </c>
      <c r="V5" s="23">
        <f>I5+遊戲設定!$B$10*L5</f>
        <v/>
      </c>
      <c r="W5" s="23">
        <f>I5-遊戲設定!$B$10*L5</f>
        <v/>
      </c>
      <c r="X5" s="30" t="n"/>
    </row>
    <row r="6">
      <c r="A6" s="19">
        <f>原始資料!A6</f>
        <v/>
      </c>
      <c r="B6" s="20">
        <f>原始資料!B6</f>
        <v/>
      </c>
      <c r="C6" s="21">
        <f>原始資料!C6</f>
        <v/>
      </c>
      <c r="D6" s="21">
        <f>原始資料!D6</f>
        <v/>
      </c>
      <c r="E6" s="21">
        <f>原始資料!E6</f>
        <v/>
      </c>
      <c r="F6" s="21">
        <f>原始資料!F6</f>
        <v/>
      </c>
      <c r="G6" s="22">
        <f>E6-F6</f>
        <v/>
      </c>
      <c r="H6" s="23">
        <f>IFERROR(F6/E6,0)</f>
        <v/>
      </c>
      <c r="I6" s="24">
        <f>INDEX(遊戲設定!$B$5:$B$9,MATCH(B6,遊戲設定!$A$5:$A$9,0))</f>
        <v/>
      </c>
      <c r="J6" s="25">
        <f>INDEX(遊戲設定!$C$5:$C$9,MATCH(B6,遊戲設定!$A$5:$A$9,0))</f>
        <v/>
      </c>
      <c r="K6" s="22">
        <f>E6/遊戲設定!$B$12</f>
        <v/>
      </c>
      <c r="L6" s="23">
        <f>J6/SQRT(K6)</f>
        <v/>
      </c>
      <c r="M6" s="26">
        <f>(H6-I6)/L6</f>
        <v/>
      </c>
      <c r="N6" s="27">
        <f>2*(1-NORMSDIST(ABS(M6)))</f>
        <v/>
      </c>
      <c r="O6" s="21">
        <f>原始資料!G6</f>
        <v/>
      </c>
      <c r="P6" s="28">
        <f>C6*INDEX(遊戲設定!$D$5:$D$9,MATCH(B6,遊戲設定!$A$5:$A$9,0))</f>
        <v/>
      </c>
      <c r="Q6" s="26">
        <f>(O6-P6)/SQRT(P6)</f>
        <v/>
      </c>
      <c r="R6" s="29">
        <f>原始資料!H6</f>
        <v/>
      </c>
      <c r="S6" s="23">
        <f>SUM($F$2:F6)/SUM($E$2:E6)</f>
        <v/>
      </c>
      <c r="T6" s="30">
        <f>IF(ABS(M6)&gt;遊戲設定!$B$10,"警示","正常")</f>
        <v/>
      </c>
      <c r="U6" s="30">
        <f>IF(ABS(H6-I6)&gt;遊戲設定!$B$11,"警示","正常")</f>
        <v/>
      </c>
      <c r="V6" s="23">
        <f>I6+遊戲設定!$B$10*L6</f>
        <v/>
      </c>
      <c r="W6" s="23">
        <f>I6-遊戲設定!$B$10*L6</f>
        <v/>
      </c>
      <c r="X6" s="30" t="n"/>
    </row>
    <row r="7">
      <c r="A7" s="19">
        <f>原始資料!A7</f>
        <v/>
      </c>
      <c r="B7" s="20">
        <f>原始資料!B7</f>
        <v/>
      </c>
      <c r="C7" s="21">
        <f>原始資料!C7</f>
        <v/>
      </c>
      <c r="D7" s="21">
        <f>原始資料!D7</f>
        <v/>
      </c>
      <c r="E7" s="21">
        <f>原始資料!E7</f>
        <v/>
      </c>
      <c r="F7" s="21">
        <f>原始資料!F7</f>
        <v/>
      </c>
      <c r="G7" s="22">
        <f>E7-F7</f>
        <v/>
      </c>
      <c r="H7" s="23">
        <f>IFERROR(F7/E7,0)</f>
        <v/>
      </c>
      <c r="I7" s="24">
        <f>INDEX(遊戲設定!$B$5:$B$9,MATCH(B7,遊戲設定!$A$5:$A$9,0))</f>
        <v/>
      </c>
      <c r="J7" s="25">
        <f>INDEX(遊戲設定!$C$5:$C$9,MATCH(B7,遊戲設定!$A$5:$A$9,0))</f>
        <v/>
      </c>
      <c r="K7" s="22">
        <f>E7/遊戲設定!$B$12</f>
        <v/>
      </c>
      <c r="L7" s="23">
        <f>J7/SQRT(K7)</f>
        <v/>
      </c>
      <c r="M7" s="26">
        <f>(H7-I7)/L7</f>
        <v/>
      </c>
      <c r="N7" s="27">
        <f>2*(1-NORMSDIST(ABS(M7)))</f>
        <v/>
      </c>
      <c r="O7" s="21">
        <f>原始資料!G7</f>
        <v/>
      </c>
      <c r="P7" s="28">
        <f>C7*INDEX(遊戲設定!$D$5:$D$9,MATCH(B7,遊戲設定!$A$5:$A$9,0))</f>
        <v/>
      </c>
      <c r="Q7" s="26">
        <f>(O7-P7)/SQRT(P7)</f>
        <v/>
      </c>
      <c r="R7" s="29">
        <f>原始資料!H7</f>
        <v/>
      </c>
      <c r="S7" s="23">
        <f>SUM($F$2:F7)/SUM($E$2:E7)</f>
        <v/>
      </c>
      <c r="T7" s="30">
        <f>IF(ABS(M7)&gt;遊戲設定!$B$10,"警示","正常")</f>
        <v/>
      </c>
      <c r="U7" s="30">
        <f>IF(ABS(H7-I7)&gt;遊戲設定!$B$11,"警示","正常")</f>
        <v/>
      </c>
      <c r="V7" s="23">
        <f>I7+遊戲設定!$B$10*L7</f>
        <v/>
      </c>
      <c r="W7" s="23">
        <f>I7-遊戲設定!$B$10*L7</f>
        <v/>
      </c>
      <c r="X7" s="30" t="n"/>
    </row>
    <row r="8">
      <c r="A8" s="19">
        <f>原始資料!A8</f>
        <v/>
      </c>
      <c r="B8" s="20">
        <f>原始資料!B8</f>
        <v/>
      </c>
      <c r="C8" s="21">
        <f>原始資料!C8</f>
        <v/>
      </c>
      <c r="D8" s="21">
        <f>原始資料!D8</f>
        <v/>
      </c>
      <c r="E8" s="21">
        <f>原始資料!E8</f>
        <v/>
      </c>
      <c r="F8" s="21">
        <f>原始資料!F8</f>
        <v/>
      </c>
      <c r="G8" s="22">
        <f>E8-F8</f>
        <v/>
      </c>
      <c r="H8" s="23">
        <f>IFERROR(F8/E8,0)</f>
        <v/>
      </c>
      <c r="I8" s="24">
        <f>INDEX(遊戲設定!$B$5:$B$9,MATCH(B8,遊戲設定!$A$5:$A$9,0))</f>
        <v/>
      </c>
      <c r="J8" s="25">
        <f>INDEX(遊戲設定!$C$5:$C$9,MATCH(B8,遊戲設定!$A$5:$A$9,0))</f>
        <v/>
      </c>
      <c r="K8" s="22">
        <f>E8/遊戲設定!$B$12</f>
        <v/>
      </c>
      <c r="L8" s="23">
        <f>J8/SQRT(K8)</f>
        <v/>
      </c>
      <c r="M8" s="26">
        <f>(H8-I8)/L8</f>
        <v/>
      </c>
      <c r="N8" s="27">
        <f>2*(1-NORMSDIST(ABS(M8)))</f>
        <v/>
      </c>
      <c r="O8" s="21">
        <f>原始資料!G8</f>
        <v/>
      </c>
      <c r="P8" s="28">
        <f>C8*INDEX(遊戲設定!$D$5:$D$9,MATCH(B8,遊戲設定!$A$5:$A$9,0))</f>
        <v/>
      </c>
      <c r="Q8" s="26">
        <f>(O8-P8)/SQRT(P8)</f>
        <v/>
      </c>
      <c r="R8" s="29">
        <f>原始資料!H8</f>
        <v/>
      </c>
      <c r="S8" s="23">
        <f>SUM($F$2:F8)/SUM($E$2:E8)</f>
        <v/>
      </c>
      <c r="T8" s="30">
        <f>IF(ABS(M8)&gt;遊戲設定!$B$10,"警示","正常")</f>
        <v/>
      </c>
      <c r="U8" s="30">
        <f>IF(ABS(H8-I8)&gt;遊戲設定!$B$11,"警示","正常")</f>
        <v/>
      </c>
      <c r="V8" s="23">
        <f>I8+遊戲設定!$B$10*L8</f>
        <v/>
      </c>
      <c r="W8" s="23">
        <f>I8-遊戲設定!$B$10*L8</f>
        <v/>
      </c>
      <c r="X8" s="30" t="n"/>
    </row>
    <row r="9">
      <c r="A9" s="19">
        <f>原始資料!A9</f>
        <v/>
      </c>
      <c r="B9" s="20">
        <f>原始資料!B9</f>
        <v/>
      </c>
      <c r="C9" s="21">
        <f>原始資料!C9</f>
        <v/>
      </c>
      <c r="D9" s="21">
        <f>原始資料!D9</f>
        <v/>
      </c>
      <c r="E9" s="21">
        <f>原始資料!E9</f>
        <v/>
      </c>
      <c r="F9" s="21">
        <f>原始資料!F9</f>
        <v/>
      </c>
      <c r="G9" s="22">
        <f>E9-F9</f>
        <v/>
      </c>
      <c r="H9" s="23">
        <f>IFERROR(F9/E9,0)</f>
        <v/>
      </c>
      <c r="I9" s="24">
        <f>INDEX(遊戲設定!$B$5:$B$9,MATCH(B9,遊戲設定!$A$5:$A$9,0))</f>
        <v/>
      </c>
      <c r="J9" s="25">
        <f>INDEX(遊戲設定!$C$5:$C$9,MATCH(B9,遊戲設定!$A$5:$A$9,0))</f>
        <v/>
      </c>
      <c r="K9" s="22">
        <f>E9/遊戲設定!$B$12</f>
        <v/>
      </c>
      <c r="L9" s="23">
        <f>J9/SQRT(K9)</f>
        <v/>
      </c>
      <c r="M9" s="26">
        <f>(H9-I9)/L9</f>
        <v/>
      </c>
      <c r="N9" s="27">
        <f>2*(1-NORMSDIST(ABS(M9)))</f>
        <v/>
      </c>
      <c r="O9" s="21">
        <f>原始資料!G9</f>
        <v/>
      </c>
      <c r="P9" s="28">
        <f>C9*INDEX(遊戲設定!$D$5:$D$9,MATCH(B9,遊戲設定!$A$5:$A$9,0))</f>
        <v/>
      </c>
      <c r="Q9" s="26">
        <f>(O9-P9)/SQRT(P9)</f>
        <v/>
      </c>
      <c r="R9" s="29">
        <f>原始資料!H9</f>
        <v/>
      </c>
      <c r="S9" s="23">
        <f>SUM($F$2:F9)/SUM($E$2:E9)</f>
        <v/>
      </c>
      <c r="T9" s="30">
        <f>IF(ABS(M9)&gt;遊戲設定!$B$10,"警示","正常")</f>
        <v/>
      </c>
      <c r="U9" s="30">
        <f>IF(ABS(H9-I9)&gt;遊戲設定!$B$11,"警示","正常")</f>
        <v/>
      </c>
      <c r="V9" s="23">
        <f>I9+遊戲設定!$B$10*L9</f>
        <v/>
      </c>
      <c r="W9" s="23">
        <f>I9-遊戲設定!$B$10*L9</f>
        <v/>
      </c>
      <c r="X9" s="30" t="n"/>
    </row>
    <row r="10">
      <c r="A10" s="19">
        <f>原始資料!A10</f>
        <v/>
      </c>
      <c r="B10" s="20">
        <f>原始資料!B10</f>
        <v/>
      </c>
      <c r="C10" s="21">
        <f>原始資料!C10</f>
        <v/>
      </c>
      <c r="D10" s="21">
        <f>原始資料!D10</f>
        <v/>
      </c>
      <c r="E10" s="21">
        <f>原始資料!E10</f>
        <v/>
      </c>
      <c r="F10" s="21">
        <f>原始資料!F10</f>
        <v/>
      </c>
      <c r="G10" s="22">
        <f>E10-F10</f>
        <v/>
      </c>
      <c r="H10" s="23">
        <f>IFERROR(F10/E10,0)</f>
        <v/>
      </c>
      <c r="I10" s="24">
        <f>INDEX(遊戲設定!$B$5:$B$9,MATCH(B10,遊戲設定!$A$5:$A$9,0))</f>
        <v/>
      </c>
      <c r="J10" s="25">
        <f>INDEX(遊戲設定!$C$5:$C$9,MATCH(B10,遊戲設定!$A$5:$A$9,0))</f>
        <v/>
      </c>
      <c r="K10" s="22">
        <f>E10/遊戲設定!$B$12</f>
        <v/>
      </c>
      <c r="L10" s="23">
        <f>J10/SQRT(K10)</f>
        <v/>
      </c>
      <c r="M10" s="26">
        <f>(H10-I10)/L10</f>
        <v/>
      </c>
      <c r="N10" s="27">
        <f>2*(1-NORMSDIST(ABS(M10)))</f>
        <v/>
      </c>
      <c r="O10" s="21">
        <f>原始資料!G10</f>
        <v/>
      </c>
      <c r="P10" s="28">
        <f>C10*INDEX(遊戲設定!$D$5:$D$9,MATCH(B10,遊戲設定!$A$5:$A$9,0))</f>
        <v/>
      </c>
      <c r="Q10" s="26">
        <f>(O10-P10)/SQRT(P10)</f>
        <v/>
      </c>
      <c r="R10" s="29">
        <f>原始資料!H10</f>
        <v/>
      </c>
      <c r="S10" s="23">
        <f>SUM($F$2:F10)/SUM($E$2:E10)</f>
        <v/>
      </c>
      <c r="T10" s="30">
        <f>IF(ABS(M10)&gt;遊戲設定!$B$10,"警示","正常")</f>
        <v/>
      </c>
      <c r="U10" s="30">
        <f>IF(ABS(H10-I10)&gt;遊戲設定!$B$11,"警示","正常")</f>
        <v/>
      </c>
      <c r="V10" s="23">
        <f>I10+遊戲設定!$B$10*L10</f>
        <v/>
      </c>
      <c r="W10" s="23">
        <f>I10-遊戲設定!$B$10*L10</f>
        <v/>
      </c>
      <c r="X10" s="30" t="n"/>
    </row>
    <row r="11">
      <c r="A11" s="19">
        <f>原始資料!A11</f>
        <v/>
      </c>
      <c r="B11" s="20">
        <f>原始資料!B11</f>
        <v/>
      </c>
      <c r="C11" s="21">
        <f>原始資料!C11</f>
        <v/>
      </c>
      <c r="D11" s="21">
        <f>原始資料!D11</f>
        <v/>
      </c>
      <c r="E11" s="21">
        <f>原始資料!E11</f>
        <v/>
      </c>
      <c r="F11" s="21">
        <f>原始資料!F11</f>
        <v/>
      </c>
      <c r="G11" s="22">
        <f>E11-F11</f>
        <v/>
      </c>
      <c r="H11" s="23">
        <f>IFERROR(F11/E11,0)</f>
        <v/>
      </c>
      <c r="I11" s="24">
        <f>INDEX(遊戲設定!$B$5:$B$9,MATCH(B11,遊戲設定!$A$5:$A$9,0))</f>
        <v/>
      </c>
      <c r="J11" s="25">
        <f>INDEX(遊戲設定!$C$5:$C$9,MATCH(B11,遊戲設定!$A$5:$A$9,0))</f>
        <v/>
      </c>
      <c r="K11" s="22">
        <f>E11/遊戲設定!$B$12</f>
        <v/>
      </c>
      <c r="L11" s="23">
        <f>J11/SQRT(K11)</f>
        <v/>
      </c>
      <c r="M11" s="26">
        <f>(H11-I11)/L11</f>
        <v/>
      </c>
      <c r="N11" s="27">
        <f>2*(1-NORMSDIST(ABS(M11)))</f>
        <v/>
      </c>
      <c r="O11" s="21">
        <f>原始資料!G11</f>
        <v/>
      </c>
      <c r="P11" s="28">
        <f>C11*INDEX(遊戲設定!$D$5:$D$9,MATCH(B11,遊戲設定!$A$5:$A$9,0))</f>
        <v/>
      </c>
      <c r="Q11" s="26">
        <f>(O11-P11)/SQRT(P11)</f>
        <v/>
      </c>
      <c r="R11" s="29">
        <f>原始資料!H11</f>
        <v/>
      </c>
      <c r="S11" s="23">
        <f>SUM($F$2:F11)/SUM($E$2:E11)</f>
        <v/>
      </c>
      <c r="T11" s="30">
        <f>IF(ABS(M11)&gt;遊戲設定!$B$10,"警示","正常")</f>
        <v/>
      </c>
      <c r="U11" s="30">
        <f>IF(ABS(H11-I11)&gt;遊戲設定!$B$11,"警示","正常")</f>
        <v/>
      </c>
      <c r="V11" s="23">
        <f>I11+遊戲設定!$B$10*L11</f>
        <v/>
      </c>
      <c r="W11" s="23">
        <f>I11-遊戲設定!$B$10*L11</f>
        <v/>
      </c>
      <c r="X11" s="30" t="n"/>
    </row>
    <row r="12">
      <c r="A12" s="19">
        <f>原始資料!A12</f>
        <v/>
      </c>
      <c r="B12" s="20">
        <f>原始資料!B12</f>
        <v/>
      </c>
      <c r="C12" s="21">
        <f>原始資料!C12</f>
        <v/>
      </c>
      <c r="D12" s="21">
        <f>原始資料!D12</f>
        <v/>
      </c>
      <c r="E12" s="21">
        <f>原始資料!E12</f>
        <v/>
      </c>
      <c r="F12" s="21">
        <f>原始資料!F12</f>
        <v/>
      </c>
      <c r="G12" s="22">
        <f>E12-F12</f>
        <v/>
      </c>
      <c r="H12" s="23">
        <f>IFERROR(F12/E12,0)</f>
        <v/>
      </c>
      <c r="I12" s="24">
        <f>INDEX(遊戲設定!$B$5:$B$9,MATCH(B12,遊戲設定!$A$5:$A$9,0))</f>
        <v/>
      </c>
      <c r="J12" s="25">
        <f>INDEX(遊戲設定!$C$5:$C$9,MATCH(B12,遊戲設定!$A$5:$A$9,0))</f>
        <v/>
      </c>
      <c r="K12" s="22">
        <f>E12/遊戲設定!$B$12</f>
        <v/>
      </c>
      <c r="L12" s="23">
        <f>J12/SQRT(K12)</f>
        <v/>
      </c>
      <c r="M12" s="26">
        <f>(H12-I12)/L12</f>
        <v/>
      </c>
      <c r="N12" s="27">
        <f>2*(1-NORMSDIST(ABS(M12)))</f>
        <v/>
      </c>
      <c r="O12" s="21">
        <f>原始資料!G12</f>
        <v/>
      </c>
      <c r="P12" s="28">
        <f>C12*INDEX(遊戲設定!$D$5:$D$9,MATCH(B12,遊戲設定!$A$5:$A$9,0))</f>
        <v/>
      </c>
      <c r="Q12" s="26">
        <f>(O12-P12)/SQRT(P12)</f>
        <v/>
      </c>
      <c r="R12" s="29">
        <f>原始資料!H12</f>
        <v/>
      </c>
      <c r="S12" s="23">
        <f>SUM($F$2:F12)/SUM($E$2:E12)</f>
        <v/>
      </c>
      <c r="T12" s="30">
        <f>IF(ABS(M12)&gt;遊戲設定!$B$10,"警示","正常")</f>
        <v/>
      </c>
      <c r="U12" s="30">
        <f>IF(ABS(H12-I12)&gt;遊戲設定!$B$11,"警示","正常")</f>
        <v/>
      </c>
      <c r="V12" s="23">
        <f>I12+遊戲設定!$B$10*L12</f>
        <v/>
      </c>
      <c r="W12" s="23">
        <f>I12-遊戲設定!$B$10*L12</f>
        <v/>
      </c>
      <c r="X12" s="30" t="n"/>
    </row>
    <row r="13">
      <c r="A13" s="19">
        <f>原始資料!A13</f>
        <v/>
      </c>
      <c r="B13" s="20">
        <f>原始資料!B13</f>
        <v/>
      </c>
      <c r="C13" s="21">
        <f>原始資料!C13</f>
        <v/>
      </c>
      <c r="D13" s="21">
        <f>原始資料!D13</f>
        <v/>
      </c>
      <c r="E13" s="21">
        <f>原始資料!E13</f>
        <v/>
      </c>
      <c r="F13" s="21">
        <f>原始資料!F13</f>
        <v/>
      </c>
      <c r="G13" s="22">
        <f>E13-F13</f>
        <v/>
      </c>
      <c r="H13" s="23">
        <f>IFERROR(F13/E13,0)</f>
        <v/>
      </c>
      <c r="I13" s="24">
        <f>INDEX(遊戲設定!$B$5:$B$9,MATCH(B13,遊戲設定!$A$5:$A$9,0))</f>
        <v/>
      </c>
      <c r="J13" s="25">
        <f>INDEX(遊戲設定!$C$5:$C$9,MATCH(B13,遊戲設定!$A$5:$A$9,0))</f>
        <v/>
      </c>
      <c r="K13" s="22">
        <f>E13/遊戲設定!$B$12</f>
        <v/>
      </c>
      <c r="L13" s="23">
        <f>J13/SQRT(K13)</f>
        <v/>
      </c>
      <c r="M13" s="26">
        <f>(H13-I13)/L13</f>
        <v/>
      </c>
      <c r="N13" s="27">
        <f>2*(1-NORMSDIST(ABS(M13)))</f>
        <v/>
      </c>
      <c r="O13" s="21">
        <f>原始資料!G13</f>
        <v/>
      </c>
      <c r="P13" s="28">
        <f>C13*INDEX(遊戲設定!$D$5:$D$9,MATCH(B13,遊戲設定!$A$5:$A$9,0))</f>
        <v/>
      </c>
      <c r="Q13" s="26">
        <f>(O13-P13)/SQRT(P13)</f>
        <v/>
      </c>
      <c r="R13" s="29">
        <f>原始資料!H13</f>
        <v/>
      </c>
      <c r="S13" s="23">
        <f>SUM($F$2:F13)/SUM($E$2:E13)</f>
        <v/>
      </c>
      <c r="T13" s="30">
        <f>IF(ABS(M13)&gt;遊戲設定!$B$10,"警示","正常")</f>
        <v/>
      </c>
      <c r="U13" s="30">
        <f>IF(ABS(H13-I13)&gt;遊戲設定!$B$11,"警示","正常")</f>
        <v/>
      </c>
      <c r="V13" s="23">
        <f>I13+遊戲設定!$B$10*L13</f>
        <v/>
      </c>
      <c r="W13" s="23">
        <f>I13-遊戲設定!$B$10*L13</f>
        <v/>
      </c>
      <c r="X13" s="30" t="inlineStr">
        <is>
          <t>原始資料有 3 筆重複寫入，已由 v_spins 排除</t>
        </is>
      </c>
    </row>
    <row r="14">
      <c r="A14" s="19">
        <f>原始資料!A14</f>
        <v/>
      </c>
      <c r="B14" s="20">
        <f>原始資料!B14</f>
        <v/>
      </c>
      <c r="C14" s="21">
        <f>原始資料!C14</f>
        <v/>
      </c>
      <c r="D14" s="21">
        <f>原始資料!D14</f>
        <v/>
      </c>
      <c r="E14" s="21">
        <f>原始資料!E14</f>
        <v/>
      </c>
      <c r="F14" s="21">
        <f>原始資料!F14</f>
        <v/>
      </c>
      <c r="G14" s="22">
        <f>E14-F14</f>
        <v/>
      </c>
      <c r="H14" s="23">
        <f>IFERROR(F14/E14,0)</f>
        <v/>
      </c>
      <c r="I14" s="24">
        <f>INDEX(遊戲設定!$B$5:$B$9,MATCH(B14,遊戲設定!$A$5:$A$9,0))</f>
        <v/>
      </c>
      <c r="J14" s="25">
        <f>INDEX(遊戲設定!$C$5:$C$9,MATCH(B14,遊戲設定!$A$5:$A$9,0))</f>
        <v/>
      </c>
      <c r="K14" s="22">
        <f>E14/遊戲設定!$B$12</f>
        <v/>
      </c>
      <c r="L14" s="23">
        <f>J14/SQRT(K14)</f>
        <v/>
      </c>
      <c r="M14" s="26">
        <f>(H14-I14)/L14</f>
        <v/>
      </c>
      <c r="N14" s="27">
        <f>2*(1-NORMSDIST(ABS(M14)))</f>
        <v/>
      </c>
      <c r="O14" s="21">
        <f>原始資料!G14</f>
        <v/>
      </c>
      <c r="P14" s="28">
        <f>C14*INDEX(遊戲設定!$D$5:$D$9,MATCH(B14,遊戲設定!$A$5:$A$9,0))</f>
        <v/>
      </c>
      <c r="Q14" s="26">
        <f>(O14-P14)/SQRT(P14)</f>
        <v/>
      </c>
      <c r="R14" s="29">
        <f>原始資料!H14</f>
        <v/>
      </c>
      <c r="S14" s="23">
        <f>SUM($F$2:F14)/SUM($E$2:E14)</f>
        <v/>
      </c>
      <c r="T14" s="30">
        <f>IF(ABS(M14)&gt;遊戲設定!$B$10,"警示","正常")</f>
        <v/>
      </c>
      <c r="U14" s="30">
        <f>IF(ABS(H14-I14)&gt;遊戲設定!$B$11,"警示","正常")</f>
        <v/>
      </c>
      <c r="V14" s="23">
        <f>I14+遊戲設定!$B$10*L14</f>
        <v/>
      </c>
      <c r="W14" s="23">
        <f>I14-遊戲設定!$B$10*L14</f>
        <v/>
      </c>
      <c r="X14" s="30" t="n"/>
    </row>
    <row r="15">
      <c r="A15" s="19">
        <f>原始資料!A15</f>
        <v/>
      </c>
      <c r="B15" s="20">
        <f>原始資料!B15</f>
        <v/>
      </c>
      <c r="C15" s="21">
        <f>原始資料!C15</f>
        <v/>
      </c>
      <c r="D15" s="21">
        <f>原始資料!D15</f>
        <v/>
      </c>
      <c r="E15" s="21">
        <f>原始資料!E15</f>
        <v/>
      </c>
      <c r="F15" s="21">
        <f>原始資料!F15</f>
        <v/>
      </c>
      <c r="G15" s="22">
        <f>E15-F15</f>
        <v/>
      </c>
      <c r="H15" s="23">
        <f>IFERROR(F15/E15,0)</f>
        <v/>
      </c>
      <c r="I15" s="24">
        <f>INDEX(遊戲設定!$B$5:$B$9,MATCH(B15,遊戲設定!$A$5:$A$9,0))</f>
        <v/>
      </c>
      <c r="J15" s="25">
        <f>INDEX(遊戲設定!$C$5:$C$9,MATCH(B15,遊戲設定!$A$5:$A$9,0))</f>
        <v/>
      </c>
      <c r="K15" s="22">
        <f>E15/遊戲設定!$B$12</f>
        <v/>
      </c>
      <c r="L15" s="23">
        <f>J15/SQRT(K15)</f>
        <v/>
      </c>
      <c r="M15" s="26">
        <f>(H15-I15)/L15</f>
        <v/>
      </c>
      <c r="N15" s="27">
        <f>2*(1-NORMSDIST(ABS(M15)))</f>
        <v/>
      </c>
      <c r="O15" s="21">
        <f>原始資料!G15</f>
        <v/>
      </c>
      <c r="P15" s="28">
        <f>C15*INDEX(遊戲設定!$D$5:$D$9,MATCH(B15,遊戲設定!$A$5:$A$9,0))</f>
        <v/>
      </c>
      <c r="Q15" s="26">
        <f>(O15-P15)/SQRT(P15)</f>
        <v/>
      </c>
      <c r="R15" s="29">
        <f>原始資料!H15</f>
        <v/>
      </c>
      <c r="S15" s="23">
        <f>SUM($F$2:F15)/SUM($E$2:E15)</f>
        <v/>
      </c>
      <c r="T15" s="30">
        <f>IF(ABS(M15)&gt;遊戲設定!$B$10,"警示","正常")</f>
        <v/>
      </c>
      <c r="U15" s="30">
        <f>IF(ABS(H15-I15)&gt;遊戲設定!$B$11,"警示","正常")</f>
        <v/>
      </c>
      <c r="V15" s="23">
        <f>I15+遊戲設定!$B$10*L15</f>
        <v/>
      </c>
      <c r="W15" s="23">
        <f>I15-遊戲設定!$B$10*L15</f>
        <v/>
      </c>
      <c r="X15" s="30" t="n"/>
    </row>
    <row r="16">
      <c r="A16" s="19">
        <f>原始資料!A16</f>
        <v/>
      </c>
      <c r="B16" s="20">
        <f>原始資料!B16</f>
        <v/>
      </c>
      <c r="C16" s="21">
        <f>原始資料!C16</f>
        <v/>
      </c>
      <c r="D16" s="21">
        <f>原始資料!D16</f>
        <v/>
      </c>
      <c r="E16" s="21">
        <f>原始資料!E16</f>
        <v/>
      </c>
      <c r="F16" s="21">
        <f>原始資料!F16</f>
        <v/>
      </c>
      <c r="G16" s="22">
        <f>E16-F16</f>
        <v/>
      </c>
      <c r="H16" s="23">
        <f>IFERROR(F16/E16,0)</f>
        <v/>
      </c>
      <c r="I16" s="24">
        <f>INDEX(遊戲設定!$B$5:$B$9,MATCH(B16,遊戲設定!$A$5:$A$9,0))</f>
        <v/>
      </c>
      <c r="J16" s="25">
        <f>INDEX(遊戲設定!$C$5:$C$9,MATCH(B16,遊戲設定!$A$5:$A$9,0))</f>
        <v/>
      </c>
      <c r="K16" s="22">
        <f>E16/遊戲設定!$B$12</f>
        <v/>
      </c>
      <c r="L16" s="23">
        <f>J16/SQRT(K16)</f>
        <v/>
      </c>
      <c r="M16" s="26">
        <f>(H16-I16)/L16</f>
        <v/>
      </c>
      <c r="N16" s="27">
        <f>2*(1-NORMSDIST(ABS(M16)))</f>
        <v/>
      </c>
      <c r="O16" s="21">
        <f>原始資料!G16</f>
        <v/>
      </c>
      <c r="P16" s="28">
        <f>C16*INDEX(遊戲設定!$D$5:$D$9,MATCH(B16,遊戲設定!$A$5:$A$9,0))</f>
        <v/>
      </c>
      <c r="Q16" s="26">
        <f>(O16-P16)/SQRT(P16)</f>
        <v/>
      </c>
      <c r="R16" s="29">
        <f>原始資料!H16</f>
        <v/>
      </c>
      <c r="S16" s="23">
        <f>SUM($F$2:F16)/SUM($E$2:E16)</f>
        <v/>
      </c>
      <c r="T16" s="30">
        <f>IF(ABS(M16)&gt;遊戲設定!$B$10,"警示","正常")</f>
        <v/>
      </c>
      <c r="U16" s="30">
        <f>IF(ABS(H16-I16)&gt;遊戲設定!$B$11,"警示","正常")</f>
        <v/>
      </c>
      <c r="V16" s="23">
        <f>I16+遊戲設定!$B$10*L16</f>
        <v/>
      </c>
      <c r="W16" s="23">
        <f>I16-遊戲設定!$B$10*L16</f>
        <v/>
      </c>
      <c r="X16" s="30" t="n"/>
    </row>
    <row r="17">
      <c r="A17" s="19">
        <f>原始資料!A17</f>
        <v/>
      </c>
      <c r="B17" s="20">
        <f>原始資料!B17</f>
        <v/>
      </c>
      <c r="C17" s="21">
        <f>原始資料!C17</f>
        <v/>
      </c>
      <c r="D17" s="21">
        <f>原始資料!D17</f>
        <v/>
      </c>
      <c r="E17" s="21">
        <f>原始資料!E17</f>
        <v/>
      </c>
      <c r="F17" s="21">
        <f>原始資料!F17</f>
        <v/>
      </c>
      <c r="G17" s="22">
        <f>E17-F17</f>
        <v/>
      </c>
      <c r="H17" s="23">
        <f>IFERROR(F17/E17,0)</f>
        <v/>
      </c>
      <c r="I17" s="24">
        <f>INDEX(遊戲設定!$B$5:$B$9,MATCH(B17,遊戲設定!$A$5:$A$9,0))</f>
        <v/>
      </c>
      <c r="J17" s="25">
        <f>INDEX(遊戲設定!$C$5:$C$9,MATCH(B17,遊戲設定!$A$5:$A$9,0))</f>
        <v/>
      </c>
      <c r="K17" s="22">
        <f>E17/遊戲設定!$B$12</f>
        <v/>
      </c>
      <c r="L17" s="23">
        <f>J17/SQRT(K17)</f>
        <v/>
      </c>
      <c r="M17" s="26">
        <f>(H17-I17)/L17</f>
        <v/>
      </c>
      <c r="N17" s="27">
        <f>2*(1-NORMSDIST(ABS(M17)))</f>
        <v/>
      </c>
      <c r="O17" s="21">
        <f>原始資料!G17</f>
        <v/>
      </c>
      <c r="P17" s="28">
        <f>C17*INDEX(遊戲設定!$D$5:$D$9,MATCH(B17,遊戲設定!$A$5:$A$9,0))</f>
        <v/>
      </c>
      <c r="Q17" s="26">
        <f>(O17-P17)/SQRT(P17)</f>
        <v/>
      </c>
      <c r="R17" s="29">
        <f>原始資料!H17</f>
        <v/>
      </c>
      <c r="S17" s="23">
        <f>SUM($F$2:F17)/SUM($E$2:E17)</f>
        <v/>
      </c>
      <c r="T17" s="30">
        <f>IF(ABS(M17)&gt;遊戲設定!$B$10,"警示","正常")</f>
        <v/>
      </c>
      <c r="U17" s="30">
        <f>IF(ABS(H17-I17)&gt;遊戲設定!$B$11,"警示","正常")</f>
        <v/>
      </c>
      <c r="V17" s="23">
        <f>I17+遊戲設定!$B$10*L17</f>
        <v/>
      </c>
      <c r="W17" s="23">
        <f>I17-遊戲設定!$B$10*L17</f>
        <v/>
      </c>
      <c r="X17" s="30" t="n"/>
    </row>
    <row r="18">
      <c r="A18" s="19">
        <f>原始資料!A18</f>
        <v/>
      </c>
      <c r="B18" s="20">
        <f>原始資料!B18</f>
        <v/>
      </c>
      <c r="C18" s="21">
        <f>原始資料!C18</f>
        <v/>
      </c>
      <c r="D18" s="21">
        <f>原始資料!D18</f>
        <v/>
      </c>
      <c r="E18" s="21">
        <f>原始資料!E18</f>
        <v/>
      </c>
      <c r="F18" s="21">
        <f>原始資料!F18</f>
        <v/>
      </c>
      <c r="G18" s="22">
        <f>E18-F18</f>
        <v/>
      </c>
      <c r="H18" s="23">
        <f>IFERROR(F18/E18,0)</f>
        <v/>
      </c>
      <c r="I18" s="24">
        <f>INDEX(遊戲設定!$B$5:$B$9,MATCH(B18,遊戲設定!$A$5:$A$9,0))</f>
        <v/>
      </c>
      <c r="J18" s="25">
        <f>INDEX(遊戲設定!$C$5:$C$9,MATCH(B18,遊戲設定!$A$5:$A$9,0))</f>
        <v/>
      </c>
      <c r="K18" s="22">
        <f>E18/遊戲設定!$B$12</f>
        <v/>
      </c>
      <c r="L18" s="23">
        <f>J18/SQRT(K18)</f>
        <v/>
      </c>
      <c r="M18" s="26">
        <f>(H18-I18)/L18</f>
        <v/>
      </c>
      <c r="N18" s="27">
        <f>2*(1-NORMSDIST(ABS(M18)))</f>
        <v/>
      </c>
      <c r="O18" s="21">
        <f>原始資料!G18</f>
        <v/>
      </c>
      <c r="P18" s="28">
        <f>C18*INDEX(遊戲設定!$D$5:$D$9,MATCH(B18,遊戲設定!$A$5:$A$9,0))</f>
        <v/>
      </c>
      <c r="Q18" s="26">
        <f>(O18-P18)/SQRT(P18)</f>
        <v/>
      </c>
      <c r="R18" s="29">
        <f>原始資料!H18</f>
        <v/>
      </c>
      <c r="S18" s="23">
        <f>SUM($F$2:F18)/SUM($E$2:E18)</f>
        <v/>
      </c>
      <c r="T18" s="30">
        <f>IF(ABS(M18)&gt;遊戲設定!$B$10,"警示","正常")</f>
        <v/>
      </c>
      <c r="U18" s="30">
        <f>IF(ABS(H18-I18)&gt;遊戲設定!$B$11,"警示","正常")</f>
        <v/>
      </c>
      <c r="V18" s="23">
        <f>I18+遊戲設定!$B$10*L18</f>
        <v/>
      </c>
      <c r="W18" s="23">
        <f>I18-遊戲設定!$B$10*L18</f>
        <v/>
      </c>
      <c r="X18" s="30" t="inlineStr">
        <is>
          <t>正常版本的誤報（|z| 剛好超過 3）；另有 2 筆押注為 0 的錯誤紀錄已由 v_spins 排除</t>
        </is>
      </c>
    </row>
    <row r="19">
      <c r="A19" s="19">
        <f>原始資料!A19</f>
        <v/>
      </c>
      <c r="B19" s="20">
        <f>原始資料!B19</f>
        <v/>
      </c>
      <c r="C19" s="21">
        <f>原始資料!C19</f>
        <v/>
      </c>
      <c r="D19" s="21">
        <f>原始資料!D19</f>
        <v/>
      </c>
      <c r="E19" s="21">
        <f>原始資料!E19</f>
        <v/>
      </c>
      <c r="F19" s="21">
        <f>原始資料!F19</f>
        <v/>
      </c>
      <c r="G19" s="22">
        <f>E19-F19</f>
        <v/>
      </c>
      <c r="H19" s="23">
        <f>IFERROR(F19/E19,0)</f>
        <v/>
      </c>
      <c r="I19" s="24">
        <f>INDEX(遊戲設定!$B$5:$B$9,MATCH(B19,遊戲設定!$A$5:$A$9,0))</f>
        <v/>
      </c>
      <c r="J19" s="25">
        <f>INDEX(遊戲設定!$C$5:$C$9,MATCH(B19,遊戲設定!$A$5:$A$9,0))</f>
        <v/>
      </c>
      <c r="K19" s="22">
        <f>E19/遊戲設定!$B$12</f>
        <v/>
      </c>
      <c r="L19" s="23">
        <f>J19/SQRT(K19)</f>
        <v/>
      </c>
      <c r="M19" s="26">
        <f>(H19-I19)/L19</f>
        <v/>
      </c>
      <c r="N19" s="27">
        <f>2*(1-NORMSDIST(ABS(M19)))</f>
        <v/>
      </c>
      <c r="O19" s="21">
        <f>原始資料!G19</f>
        <v/>
      </c>
      <c r="P19" s="28">
        <f>C19*INDEX(遊戲設定!$D$5:$D$9,MATCH(B19,遊戲設定!$A$5:$A$9,0))</f>
        <v/>
      </c>
      <c r="Q19" s="26">
        <f>(O19-P19)/SQRT(P19)</f>
        <v/>
      </c>
      <c r="R19" s="29">
        <f>原始資料!H19</f>
        <v/>
      </c>
      <c r="S19" s="23">
        <f>SUM($F$2:F19)/SUM($E$2:E19)</f>
        <v/>
      </c>
      <c r="T19" s="30">
        <f>IF(ABS(M19)&gt;遊戲設定!$B$10,"警示","正常")</f>
        <v/>
      </c>
      <c r="U19" s="30">
        <f>IF(ABS(H19-I19)&gt;遊戲設定!$B$11,"警示","正常")</f>
        <v/>
      </c>
      <c r="V19" s="23">
        <f>I19+遊戲設定!$B$10*L19</f>
        <v/>
      </c>
      <c r="W19" s="23">
        <f>I19-遊戲設定!$B$10*L19</f>
        <v/>
      </c>
      <c r="X19" s="30" t="n"/>
    </row>
    <row r="20">
      <c r="A20" s="19">
        <f>原始資料!A20</f>
        <v/>
      </c>
      <c r="B20" s="20">
        <f>原始資料!B20</f>
        <v/>
      </c>
      <c r="C20" s="21">
        <f>原始資料!C20</f>
        <v/>
      </c>
      <c r="D20" s="21">
        <f>原始資料!D20</f>
        <v/>
      </c>
      <c r="E20" s="21">
        <f>原始資料!E20</f>
        <v/>
      </c>
      <c r="F20" s="21">
        <f>原始資料!F20</f>
        <v/>
      </c>
      <c r="G20" s="22">
        <f>E20-F20</f>
        <v/>
      </c>
      <c r="H20" s="23">
        <f>IFERROR(F20/E20,0)</f>
        <v/>
      </c>
      <c r="I20" s="24">
        <f>INDEX(遊戲設定!$B$5:$B$9,MATCH(B20,遊戲設定!$A$5:$A$9,0))</f>
        <v/>
      </c>
      <c r="J20" s="25">
        <f>INDEX(遊戲設定!$C$5:$C$9,MATCH(B20,遊戲設定!$A$5:$A$9,0))</f>
        <v/>
      </c>
      <c r="K20" s="22">
        <f>E20/遊戲設定!$B$12</f>
        <v/>
      </c>
      <c r="L20" s="23">
        <f>J20/SQRT(K20)</f>
        <v/>
      </c>
      <c r="M20" s="26">
        <f>(H20-I20)/L20</f>
        <v/>
      </c>
      <c r="N20" s="27">
        <f>2*(1-NORMSDIST(ABS(M20)))</f>
        <v/>
      </c>
      <c r="O20" s="21">
        <f>原始資料!G20</f>
        <v/>
      </c>
      <c r="P20" s="28">
        <f>C20*INDEX(遊戲設定!$D$5:$D$9,MATCH(B20,遊戲設定!$A$5:$A$9,0))</f>
        <v/>
      </c>
      <c r="Q20" s="26">
        <f>(O20-P20)/SQRT(P20)</f>
        <v/>
      </c>
      <c r="R20" s="29">
        <f>原始資料!H20</f>
        <v/>
      </c>
      <c r="S20" s="23">
        <f>SUM($F$2:F20)/SUM($E$2:E20)</f>
        <v/>
      </c>
      <c r="T20" s="30">
        <f>IF(ABS(M20)&gt;遊戲設定!$B$10,"警示","正常")</f>
        <v/>
      </c>
      <c r="U20" s="30">
        <f>IF(ABS(H20-I20)&gt;遊戲設定!$B$11,"警示","正常")</f>
        <v/>
      </c>
      <c r="V20" s="23">
        <f>I20+遊戲設定!$B$10*L20</f>
        <v/>
      </c>
      <c r="W20" s="23">
        <f>I20-遊戲設定!$B$10*L20</f>
        <v/>
      </c>
      <c r="X20" s="30" t="n"/>
    </row>
    <row r="21">
      <c r="A21" s="19">
        <f>原始資料!A21</f>
        <v/>
      </c>
      <c r="B21" s="20">
        <f>原始資料!B21</f>
        <v/>
      </c>
      <c r="C21" s="21">
        <f>原始資料!C21</f>
        <v/>
      </c>
      <c r="D21" s="21">
        <f>原始資料!D21</f>
        <v/>
      </c>
      <c r="E21" s="21">
        <f>原始資料!E21</f>
        <v/>
      </c>
      <c r="F21" s="21">
        <f>原始資料!F21</f>
        <v/>
      </c>
      <c r="G21" s="22">
        <f>E21-F21</f>
        <v/>
      </c>
      <c r="H21" s="23">
        <f>IFERROR(F21/E21,0)</f>
        <v/>
      </c>
      <c r="I21" s="24">
        <f>INDEX(遊戲設定!$B$5:$B$9,MATCH(B21,遊戲設定!$A$5:$A$9,0))</f>
        <v/>
      </c>
      <c r="J21" s="25">
        <f>INDEX(遊戲設定!$C$5:$C$9,MATCH(B21,遊戲設定!$A$5:$A$9,0))</f>
        <v/>
      </c>
      <c r="K21" s="22">
        <f>E21/遊戲設定!$B$12</f>
        <v/>
      </c>
      <c r="L21" s="23">
        <f>J21/SQRT(K21)</f>
        <v/>
      </c>
      <c r="M21" s="26">
        <f>(H21-I21)/L21</f>
        <v/>
      </c>
      <c r="N21" s="27">
        <f>2*(1-NORMSDIST(ABS(M21)))</f>
        <v/>
      </c>
      <c r="O21" s="21">
        <f>原始資料!G21</f>
        <v/>
      </c>
      <c r="P21" s="28">
        <f>C21*INDEX(遊戲設定!$D$5:$D$9,MATCH(B21,遊戲設定!$A$5:$A$9,0))</f>
        <v/>
      </c>
      <c r="Q21" s="26">
        <f>(O21-P21)/SQRT(P21)</f>
        <v/>
      </c>
      <c r="R21" s="29">
        <f>原始資料!H21</f>
        <v/>
      </c>
      <c r="S21" s="23">
        <f>SUM($F$2:F21)/SUM($E$2:E21)</f>
        <v/>
      </c>
      <c r="T21" s="30">
        <f>IF(ABS(M21)&gt;遊戲設定!$B$10,"警示","正常")</f>
        <v/>
      </c>
      <c r="U21" s="30">
        <f>IF(ABS(H21-I21)&gt;遊戲設定!$B$11,"警示","正常")</f>
        <v/>
      </c>
      <c r="V21" s="23">
        <f>I21+遊戲設定!$B$10*L21</f>
        <v/>
      </c>
      <c r="W21" s="23">
        <f>I21-遊戲設定!$B$10*L21</f>
        <v/>
      </c>
      <c r="X21" s="30" t="n"/>
    </row>
    <row r="22">
      <c r="A22" s="19">
        <f>原始資料!A22</f>
        <v/>
      </c>
      <c r="B22" s="20">
        <f>原始資料!B22</f>
        <v/>
      </c>
      <c r="C22" s="21">
        <f>原始資料!C22</f>
        <v/>
      </c>
      <c r="D22" s="21">
        <f>原始資料!D22</f>
        <v/>
      </c>
      <c r="E22" s="21">
        <f>原始資料!E22</f>
        <v/>
      </c>
      <c r="F22" s="21">
        <f>原始資料!F22</f>
        <v/>
      </c>
      <c r="G22" s="22">
        <f>E22-F22</f>
        <v/>
      </c>
      <c r="H22" s="23">
        <f>IFERROR(F22/E22,0)</f>
        <v/>
      </c>
      <c r="I22" s="24">
        <f>INDEX(遊戲設定!$B$5:$B$9,MATCH(B22,遊戲設定!$A$5:$A$9,0))</f>
        <v/>
      </c>
      <c r="J22" s="25">
        <f>INDEX(遊戲設定!$C$5:$C$9,MATCH(B22,遊戲設定!$A$5:$A$9,0))</f>
        <v/>
      </c>
      <c r="K22" s="22">
        <f>E22/遊戲設定!$B$12</f>
        <v/>
      </c>
      <c r="L22" s="23">
        <f>J22/SQRT(K22)</f>
        <v/>
      </c>
      <c r="M22" s="26">
        <f>(H22-I22)/L22</f>
        <v/>
      </c>
      <c r="N22" s="27">
        <f>2*(1-NORMSDIST(ABS(M22)))</f>
        <v/>
      </c>
      <c r="O22" s="21">
        <f>原始資料!G22</f>
        <v/>
      </c>
      <c r="P22" s="28">
        <f>C22*INDEX(遊戲設定!$D$5:$D$9,MATCH(B22,遊戲設定!$A$5:$A$9,0))</f>
        <v/>
      </c>
      <c r="Q22" s="26">
        <f>(O22-P22)/SQRT(P22)</f>
        <v/>
      </c>
      <c r="R22" s="29">
        <f>原始資料!H22</f>
        <v/>
      </c>
      <c r="S22" s="23">
        <f>SUM($F$2:F22)/SUM($E$2:E22)</f>
        <v/>
      </c>
      <c r="T22" s="30">
        <f>IF(ABS(M22)&gt;遊戲設定!$B$10,"警示","正常")</f>
        <v/>
      </c>
      <c r="U22" s="30">
        <f>IF(ABS(H22-I22)&gt;遊戲設定!$B$11,"警示","正常")</f>
        <v/>
      </c>
      <c r="V22" s="23">
        <f>I22+遊戲設定!$B$10*L22</f>
        <v/>
      </c>
      <c r="W22" s="23">
        <f>I22-遊戲設定!$B$10*L22</f>
        <v/>
      </c>
      <c r="X22" s="30" t="inlineStr">
        <is>
          <t>v1.3 上線首日即警示 → 以 SQL [Q06][Q07] 查出免費遊戲倍數誤設為 ×3</t>
        </is>
      </c>
    </row>
    <row r="23">
      <c r="A23" s="19">
        <f>原始資料!A23</f>
        <v/>
      </c>
      <c r="B23" s="20">
        <f>原始資料!B23</f>
        <v/>
      </c>
      <c r="C23" s="21">
        <f>原始資料!C23</f>
        <v/>
      </c>
      <c r="D23" s="21">
        <f>原始資料!D23</f>
        <v/>
      </c>
      <c r="E23" s="21">
        <f>原始資料!E23</f>
        <v/>
      </c>
      <c r="F23" s="21">
        <f>原始資料!F23</f>
        <v/>
      </c>
      <c r="G23" s="22">
        <f>E23-F23</f>
        <v/>
      </c>
      <c r="H23" s="23">
        <f>IFERROR(F23/E23,0)</f>
        <v/>
      </c>
      <c r="I23" s="24">
        <f>INDEX(遊戲設定!$B$5:$B$9,MATCH(B23,遊戲設定!$A$5:$A$9,0))</f>
        <v/>
      </c>
      <c r="J23" s="25">
        <f>INDEX(遊戲設定!$C$5:$C$9,MATCH(B23,遊戲設定!$A$5:$A$9,0))</f>
        <v/>
      </c>
      <c r="K23" s="22">
        <f>E23/遊戲設定!$B$12</f>
        <v/>
      </c>
      <c r="L23" s="23">
        <f>J23/SQRT(K23)</f>
        <v/>
      </c>
      <c r="M23" s="26">
        <f>(H23-I23)/L23</f>
        <v/>
      </c>
      <c r="N23" s="27">
        <f>2*(1-NORMSDIST(ABS(M23)))</f>
        <v/>
      </c>
      <c r="O23" s="21">
        <f>原始資料!G23</f>
        <v/>
      </c>
      <c r="P23" s="28">
        <f>C23*INDEX(遊戲設定!$D$5:$D$9,MATCH(B23,遊戲設定!$A$5:$A$9,0))</f>
        <v/>
      </c>
      <c r="Q23" s="26">
        <f>(O23-P23)/SQRT(P23)</f>
        <v/>
      </c>
      <c r="R23" s="29">
        <f>原始資料!H23</f>
        <v/>
      </c>
      <c r="S23" s="23">
        <f>SUM($F$2:F23)/SUM($E$2:E23)</f>
        <v/>
      </c>
      <c r="T23" s="30">
        <f>IF(ABS(M23)&gt;遊戲設定!$B$10,"警示","正常")</f>
        <v/>
      </c>
      <c r="U23" s="30">
        <f>IF(ABS(H23-I23)&gt;遊戲設定!$B$11,"警示","正常")</f>
        <v/>
      </c>
      <c r="V23" s="23">
        <f>I23+遊戲設定!$B$10*L23</f>
        <v/>
      </c>
      <c r="W23" s="23">
        <f>I23-遊戲設定!$B$10*L23</f>
        <v/>
      </c>
      <c r="X23" s="30" t="n"/>
    </row>
    <row r="24">
      <c r="A24" s="19">
        <f>原始資料!A24</f>
        <v/>
      </c>
      <c r="B24" s="20">
        <f>原始資料!B24</f>
        <v/>
      </c>
      <c r="C24" s="21">
        <f>原始資料!C24</f>
        <v/>
      </c>
      <c r="D24" s="21">
        <f>原始資料!D24</f>
        <v/>
      </c>
      <c r="E24" s="21">
        <f>原始資料!E24</f>
        <v/>
      </c>
      <c r="F24" s="21">
        <f>原始資料!F24</f>
        <v/>
      </c>
      <c r="G24" s="22">
        <f>E24-F24</f>
        <v/>
      </c>
      <c r="H24" s="23">
        <f>IFERROR(F24/E24,0)</f>
        <v/>
      </c>
      <c r="I24" s="24">
        <f>INDEX(遊戲設定!$B$5:$B$9,MATCH(B24,遊戲設定!$A$5:$A$9,0))</f>
        <v/>
      </c>
      <c r="J24" s="25">
        <f>INDEX(遊戲設定!$C$5:$C$9,MATCH(B24,遊戲設定!$A$5:$A$9,0))</f>
        <v/>
      </c>
      <c r="K24" s="22">
        <f>E24/遊戲設定!$B$12</f>
        <v/>
      </c>
      <c r="L24" s="23">
        <f>J24/SQRT(K24)</f>
        <v/>
      </c>
      <c r="M24" s="26">
        <f>(H24-I24)/L24</f>
        <v/>
      </c>
      <c r="N24" s="27">
        <f>2*(1-NORMSDIST(ABS(M24)))</f>
        <v/>
      </c>
      <c r="O24" s="21">
        <f>原始資料!G24</f>
        <v/>
      </c>
      <c r="P24" s="28">
        <f>C24*INDEX(遊戲設定!$D$5:$D$9,MATCH(B24,遊戲設定!$A$5:$A$9,0))</f>
        <v/>
      </c>
      <c r="Q24" s="26">
        <f>(O24-P24)/SQRT(P24)</f>
        <v/>
      </c>
      <c r="R24" s="29">
        <f>原始資料!H24</f>
        <v/>
      </c>
      <c r="S24" s="23">
        <f>SUM($F$2:F24)/SUM($E$2:E24)</f>
        <v/>
      </c>
      <c r="T24" s="30">
        <f>IF(ABS(M24)&gt;遊戲設定!$B$10,"警示","正常")</f>
        <v/>
      </c>
      <c r="U24" s="30">
        <f>IF(ABS(H24-I24)&gt;遊戲設定!$B$11,"警示","正常")</f>
        <v/>
      </c>
      <c r="V24" s="23">
        <f>I24+遊戲設定!$B$10*L24</f>
        <v/>
      </c>
      <c r="W24" s="23">
        <f>I24-遊戲設定!$B$10*L24</f>
        <v/>
      </c>
      <c r="X24" s="30" t="n"/>
    </row>
    <row r="25">
      <c r="A25" s="19">
        <f>原始資料!A25</f>
        <v/>
      </c>
      <c r="B25" s="20">
        <f>原始資料!B25</f>
        <v/>
      </c>
      <c r="C25" s="21">
        <f>原始資料!C25</f>
        <v/>
      </c>
      <c r="D25" s="21">
        <f>原始資料!D25</f>
        <v/>
      </c>
      <c r="E25" s="21">
        <f>原始資料!E25</f>
        <v/>
      </c>
      <c r="F25" s="21">
        <f>原始資料!F25</f>
        <v/>
      </c>
      <c r="G25" s="22">
        <f>E25-F25</f>
        <v/>
      </c>
      <c r="H25" s="23">
        <f>IFERROR(F25/E25,0)</f>
        <v/>
      </c>
      <c r="I25" s="24">
        <f>INDEX(遊戲設定!$B$5:$B$9,MATCH(B25,遊戲設定!$A$5:$A$9,0))</f>
        <v/>
      </c>
      <c r="J25" s="25">
        <f>INDEX(遊戲設定!$C$5:$C$9,MATCH(B25,遊戲設定!$A$5:$A$9,0))</f>
        <v/>
      </c>
      <c r="K25" s="22">
        <f>E25/遊戲設定!$B$12</f>
        <v/>
      </c>
      <c r="L25" s="23">
        <f>J25/SQRT(K25)</f>
        <v/>
      </c>
      <c r="M25" s="26">
        <f>(H25-I25)/L25</f>
        <v/>
      </c>
      <c r="N25" s="27">
        <f>2*(1-NORMSDIST(ABS(M25)))</f>
        <v/>
      </c>
      <c r="O25" s="21">
        <f>原始資料!G25</f>
        <v/>
      </c>
      <c r="P25" s="28">
        <f>C25*INDEX(遊戲設定!$D$5:$D$9,MATCH(B25,遊戲設定!$A$5:$A$9,0))</f>
        <v/>
      </c>
      <c r="Q25" s="26">
        <f>(O25-P25)/SQRT(P25)</f>
        <v/>
      </c>
      <c r="R25" s="29">
        <f>原始資料!H25</f>
        <v/>
      </c>
      <c r="S25" s="23">
        <f>SUM($F$2:F25)/SUM($E$2:E25)</f>
        <v/>
      </c>
      <c r="T25" s="30">
        <f>IF(ABS(M25)&gt;遊戲設定!$B$10,"警示","正常")</f>
        <v/>
      </c>
      <c r="U25" s="30">
        <f>IF(ABS(H25-I25)&gt;遊戲設定!$B$11,"警示","正常")</f>
        <v/>
      </c>
      <c r="V25" s="23">
        <f>I25+遊戲設定!$B$10*L25</f>
        <v/>
      </c>
      <c r="W25" s="23">
        <f>I25-遊戲設定!$B$10*L25</f>
        <v/>
      </c>
      <c r="X25" s="30" t="inlineStr">
        <is>
          <t>v1.3 最後一日，9/25 上線 v1.3.1 修正</t>
        </is>
      </c>
    </row>
    <row r="26">
      <c r="A26" s="19">
        <f>原始資料!A26</f>
        <v/>
      </c>
      <c r="B26" s="20">
        <f>原始資料!B26</f>
        <v/>
      </c>
      <c r="C26" s="21">
        <f>原始資料!C26</f>
        <v/>
      </c>
      <c r="D26" s="21">
        <f>原始資料!D26</f>
        <v/>
      </c>
      <c r="E26" s="21">
        <f>原始資料!E26</f>
        <v/>
      </c>
      <c r="F26" s="21">
        <f>原始資料!F26</f>
        <v/>
      </c>
      <c r="G26" s="22">
        <f>E26-F26</f>
        <v/>
      </c>
      <c r="H26" s="23">
        <f>IFERROR(F26/E26,0)</f>
        <v/>
      </c>
      <c r="I26" s="24">
        <f>INDEX(遊戲設定!$B$5:$B$9,MATCH(B26,遊戲設定!$A$5:$A$9,0))</f>
        <v/>
      </c>
      <c r="J26" s="25">
        <f>INDEX(遊戲設定!$C$5:$C$9,MATCH(B26,遊戲設定!$A$5:$A$9,0))</f>
        <v/>
      </c>
      <c r="K26" s="22">
        <f>E26/遊戲設定!$B$12</f>
        <v/>
      </c>
      <c r="L26" s="23">
        <f>J26/SQRT(K26)</f>
        <v/>
      </c>
      <c r="M26" s="26">
        <f>(H26-I26)/L26</f>
        <v/>
      </c>
      <c r="N26" s="27">
        <f>2*(1-NORMSDIST(ABS(M26)))</f>
        <v/>
      </c>
      <c r="O26" s="21">
        <f>原始資料!G26</f>
        <v/>
      </c>
      <c r="P26" s="28">
        <f>C26*INDEX(遊戲設定!$D$5:$D$9,MATCH(B26,遊戲設定!$A$5:$A$9,0))</f>
        <v/>
      </c>
      <c r="Q26" s="26">
        <f>(O26-P26)/SQRT(P26)</f>
        <v/>
      </c>
      <c r="R26" s="29">
        <f>原始資料!H26</f>
        <v/>
      </c>
      <c r="S26" s="23">
        <f>SUM($F$2:F26)/SUM($E$2:E26)</f>
        <v/>
      </c>
      <c r="T26" s="30">
        <f>IF(ABS(M26)&gt;遊戲設定!$B$10,"警示","正常")</f>
        <v/>
      </c>
      <c r="U26" s="30">
        <f>IF(ABS(H26-I26)&gt;遊戲設定!$B$11,"警示","正常")</f>
        <v/>
      </c>
      <c r="V26" s="23">
        <f>I26+遊戲設定!$B$10*L26</f>
        <v/>
      </c>
      <c r="W26" s="23">
        <f>I26-遊戲設定!$B$10*L26</f>
        <v/>
      </c>
      <c r="X26" s="30" t="n"/>
    </row>
    <row r="27">
      <c r="A27" s="19">
        <f>原始資料!A27</f>
        <v/>
      </c>
      <c r="B27" s="20">
        <f>原始資料!B27</f>
        <v/>
      </c>
      <c r="C27" s="21">
        <f>原始資料!C27</f>
        <v/>
      </c>
      <c r="D27" s="21">
        <f>原始資料!D27</f>
        <v/>
      </c>
      <c r="E27" s="21">
        <f>原始資料!E27</f>
        <v/>
      </c>
      <c r="F27" s="21">
        <f>原始資料!F27</f>
        <v/>
      </c>
      <c r="G27" s="22">
        <f>E27-F27</f>
        <v/>
      </c>
      <c r="H27" s="23">
        <f>IFERROR(F27/E27,0)</f>
        <v/>
      </c>
      <c r="I27" s="24">
        <f>INDEX(遊戲設定!$B$5:$B$9,MATCH(B27,遊戲設定!$A$5:$A$9,0))</f>
        <v/>
      </c>
      <c r="J27" s="25">
        <f>INDEX(遊戲設定!$C$5:$C$9,MATCH(B27,遊戲設定!$A$5:$A$9,0))</f>
        <v/>
      </c>
      <c r="K27" s="22">
        <f>E27/遊戲設定!$B$12</f>
        <v/>
      </c>
      <c r="L27" s="23">
        <f>J27/SQRT(K27)</f>
        <v/>
      </c>
      <c r="M27" s="26">
        <f>(H27-I27)/L27</f>
        <v/>
      </c>
      <c r="N27" s="27">
        <f>2*(1-NORMSDIST(ABS(M27)))</f>
        <v/>
      </c>
      <c r="O27" s="21">
        <f>原始資料!G27</f>
        <v/>
      </c>
      <c r="P27" s="28">
        <f>C27*INDEX(遊戲設定!$D$5:$D$9,MATCH(B27,遊戲設定!$A$5:$A$9,0))</f>
        <v/>
      </c>
      <c r="Q27" s="26">
        <f>(O27-P27)/SQRT(P27)</f>
        <v/>
      </c>
      <c r="R27" s="29">
        <f>原始資料!H27</f>
        <v/>
      </c>
      <c r="S27" s="23">
        <f>SUM($F$2:F27)/SUM($E$2:E27)</f>
        <v/>
      </c>
      <c r="T27" s="30">
        <f>IF(ABS(M27)&gt;遊戲設定!$B$10,"警示","正常")</f>
        <v/>
      </c>
      <c r="U27" s="30">
        <f>IF(ABS(H27-I27)&gt;遊戲設定!$B$11,"警示","正常")</f>
        <v/>
      </c>
      <c r="V27" s="23">
        <f>I27+遊戲設定!$B$10*L27</f>
        <v/>
      </c>
      <c r="W27" s="23">
        <f>I27-遊戲設定!$B$10*L27</f>
        <v/>
      </c>
      <c r="X27" s="30" t="n"/>
    </row>
    <row r="28">
      <c r="A28" s="19">
        <f>原始資料!A28</f>
        <v/>
      </c>
      <c r="B28" s="20">
        <f>原始資料!B28</f>
        <v/>
      </c>
      <c r="C28" s="21">
        <f>原始資料!C28</f>
        <v/>
      </c>
      <c r="D28" s="21">
        <f>原始資料!D28</f>
        <v/>
      </c>
      <c r="E28" s="21">
        <f>原始資料!E28</f>
        <v/>
      </c>
      <c r="F28" s="21">
        <f>原始資料!F28</f>
        <v/>
      </c>
      <c r="G28" s="22">
        <f>E28-F28</f>
        <v/>
      </c>
      <c r="H28" s="23">
        <f>IFERROR(F28/E28,0)</f>
        <v/>
      </c>
      <c r="I28" s="24">
        <f>INDEX(遊戲設定!$B$5:$B$9,MATCH(B28,遊戲設定!$A$5:$A$9,0))</f>
        <v/>
      </c>
      <c r="J28" s="25">
        <f>INDEX(遊戲設定!$C$5:$C$9,MATCH(B28,遊戲設定!$A$5:$A$9,0))</f>
        <v/>
      </c>
      <c r="K28" s="22">
        <f>E28/遊戲設定!$B$12</f>
        <v/>
      </c>
      <c r="L28" s="23">
        <f>J28/SQRT(K28)</f>
        <v/>
      </c>
      <c r="M28" s="26">
        <f>(H28-I28)/L28</f>
        <v/>
      </c>
      <c r="N28" s="27">
        <f>2*(1-NORMSDIST(ABS(M28)))</f>
        <v/>
      </c>
      <c r="O28" s="21">
        <f>原始資料!G28</f>
        <v/>
      </c>
      <c r="P28" s="28">
        <f>C28*INDEX(遊戲設定!$D$5:$D$9,MATCH(B28,遊戲設定!$A$5:$A$9,0))</f>
        <v/>
      </c>
      <c r="Q28" s="26">
        <f>(O28-P28)/SQRT(P28)</f>
        <v/>
      </c>
      <c r="R28" s="29">
        <f>原始資料!H28</f>
        <v/>
      </c>
      <c r="S28" s="23">
        <f>SUM($F$2:F28)/SUM($E$2:E28)</f>
        <v/>
      </c>
      <c r="T28" s="30">
        <f>IF(ABS(M28)&gt;遊戲設定!$B$10,"警示","正常")</f>
        <v/>
      </c>
      <c r="U28" s="30">
        <f>IF(ABS(H28-I28)&gt;遊戲設定!$B$11,"警示","正常")</f>
        <v/>
      </c>
      <c r="V28" s="23">
        <f>I28+遊戲設定!$B$10*L28</f>
        <v/>
      </c>
      <c r="W28" s="23">
        <f>I28-遊戲設定!$B$10*L28</f>
        <v/>
      </c>
      <c r="X28" s="30" t="n"/>
    </row>
    <row r="29">
      <c r="A29" s="19">
        <f>原始資料!A29</f>
        <v/>
      </c>
      <c r="B29" s="20">
        <f>原始資料!B29</f>
        <v/>
      </c>
      <c r="C29" s="21">
        <f>原始資料!C29</f>
        <v/>
      </c>
      <c r="D29" s="21">
        <f>原始資料!D29</f>
        <v/>
      </c>
      <c r="E29" s="21">
        <f>原始資料!E29</f>
        <v/>
      </c>
      <c r="F29" s="21">
        <f>原始資料!F29</f>
        <v/>
      </c>
      <c r="G29" s="22">
        <f>E29-F29</f>
        <v/>
      </c>
      <c r="H29" s="23">
        <f>IFERROR(F29/E29,0)</f>
        <v/>
      </c>
      <c r="I29" s="24">
        <f>INDEX(遊戲設定!$B$5:$B$9,MATCH(B29,遊戲設定!$A$5:$A$9,0))</f>
        <v/>
      </c>
      <c r="J29" s="25">
        <f>INDEX(遊戲設定!$C$5:$C$9,MATCH(B29,遊戲設定!$A$5:$A$9,0))</f>
        <v/>
      </c>
      <c r="K29" s="22">
        <f>E29/遊戲設定!$B$12</f>
        <v/>
      </c>
      <c r="L29" s="23">
        <f>J29/SQRT(K29)</f>
        <v/>
      </c>
      <c r="M29" s="26">
        <f>(H29-I29)/L29</f>
        <v/>
      </c>
      <c r="N29" s="27">
        <f>2*(1-NORMSDIST(ABS(M29)))</f>
        <v/>
      </c>
      <c r="O29" s="21">
        <f>原始資料!G29</f>
        <v/>
      </c>
      <c r="P29" s="28">
        <f>C29*INDEX(遊戲設定!$D$5:$D$9,MATCH(B29,遊戲設定!$A$5:$A$9,0))</f>
        <v/>
      </c>
      <c r="Q29" s="26">
        <f>(O29-P29)/SQRT(P29)</f>
        <v/>
      </c>
      <c r="R29" s="29">
        <f>原始資料!H29</f>
        <v/>
      </c>
      <c r="S29" s="23">
        <f>SUM($F$2:F29)/SUM($E$2:E29)</f>
        <v/>
      </c>
      <c r="T29" s="30">
        <f>IF(ABS(M29)&gt;遊戲設定!$B$10,"警示","正常")</f>
        <v/>
      </c>
      <c r="U29" s="30">
        <f>IF(ABS(H29-I29)&gt;遊戲設定!$B$11,"警示","正常")</f>
        <v/>
      </c>
      <c r="V29" s="23">
        <f>I29+遊戲設定!$B$10*L29</f>
        <v/>
      </c>
      <c r="W29" s="23">
        <f>I29-遊戲設定!$B$10*L29</f>
        <v/>
      </c>
      <c r="X29" s="30" t="n"/>
    </row>
    <row r="30">
      <c r="A30" s="19">
        <f>原始資料!A30</f>
        <v/>
      </c>
      <c r="B30" s="20">
        <f>原始資料!B30</f>
        <v/>
      </c>
      <c r="C30" s="21">
        <f>原始資料!C30</f>
        <v/>
      </c>
      <c r="D30" s="21">
        <f>原始資料!D30</f>
        <v/>
      </c>
      <c r="E30" s="21">
        <f>原始資料!E30</f>
        <v/>
      </c>
      <c r="F30" s="21">
        <f>原始資料!F30</f>
        <v/>
      </c>
      <c r="G30" s="22">
        <f>E30-F30</f>
        <v/>
      </c>
      <c r="H30" s="23">
        <f>IFERROR(F30/E30,0)</f>
        <v/>
      </c>
      <c r="I30" s="24">
        <f>INDEX(遊戲設定!$B$5:$B$9,MATCH(B30,遊戲設定!$A$5:$A$9,0))</f>
        <v/>
      </c>
      <c r="J30" s="25">
        <f>INDEX(遊戲設定!$C$5:$C$9,MATCH(B30,遊戲設定!$A$5:$A$9,0))</f>
        <v/>
      </c>
      <c r="K30" s="22">
        <f>E30/遊戲設定!$B$12</f>
        <v/>
      </c>
      <c r="L30" s="23">
        <f>J30/SQRT(K30)</f>
        <v/>
      </c>
      <c r="M30" s="26">
        <f>(H30-I30)/L30</f>
        <v/>
      </c>
      <c r="N30" s="27">
        <f>2*(1-NORMSDIST(ABS(M30)))</f>
        <v/>
      </c>
      <c r="O30" s="21">
        <f>原始資料!G30</f>
        <v/>
      </c>
      <c r="P30" s="28">
        <f>C30*INDEX(遊戲設定!$D$5:$D$9,MATCH(B30,遊戲設定!$A$5:$A$9,0))</f>
        <v/>
      </c>
      <c r="Q30" s="26">
        <f>(O30-P30)/SQRT(P30)</f>
        <v/>
      </c>
      <c r="R30" s="29">
        <f>原始資料!H30</f>
        <v/>
      </c>
      <c r="S30" s="23">
        <f>SUM($F$2:F30)/SUM($E$2:E30)</f>
        <v/>
      </c>
      <c r="T30" s="30">
        <f>IF(ABS(M30)&gt;遊戲設定!$B$10,"警示","正常")</f>
        <v/>
      </c>
      <c r="U30" s="30">
        <f>IF(ABS(H30-I30)&gt;遊戲設定!$B$11,"警示","正常")</f>
        <v/>
      </c>
      <c r="V30" s="23">
        <f>I30+遊戲設定!$B$10*L30</f>
        <v/>
      </c>
      <c r="W30" s="23">
        <f>I30-遊戲設定!$B$10*L30</f>
        <v/>
      </c>
      <c r="X30" s="30" t="n"/>
    </row>
    <row r="31">
      <c r="A31" s="19">
        <f>原始資料!A31</f>
        <v/>
      </c>
      <c r="B31" s="20">
        <f>原始資料!B31</f>
        <v/>
      </c>
      <c r="C31" s="21">
        <f>原始資料!C31</f>
        <v/>
      </c>
      <c r="D31" s="21">
        <f>原始資料!D31</f>
        <v/>
      </c>
      <c r="E31" s="21">
        <f>原始資料!E31</f>
        <v/>
      </c>
      <c r="F31" s="21">
        <f>原始資料!F31</f>
        <v/>
      </c>
      <c r="G31" s="22">
        <f>E31-F31</f>
        <v/>
      </c>
      <c r="H31" s="23">
        <f>IFERROR(F31/E31,0)</f>
        <v/>
      </c>
      <c r="I31" s="24">
        <f>INDEX(遊戲設定!$B$5:$B$9,MATCH(B31,遊戲設定!$A$5:$A$9,0))</f>
        <v/>
      </c>
      <c r="J31" s="25">
        <f>INDEX(遊戲設定!$C$5:$C$9,MATCH(B31,遊戲設定!$A$5:$A$9,0))</f>
        <v/>
      </c>
      <c r="K31" s="22">
        <f>E31/遊戲設定!$B$12</f>
        <v/>
      </c>
      <c r="L31" s="23">
        <f>J31/SQRT(K31)</f>
        <v/>
      </c>
      <c r="M31" s="26">
        <f>(H31-I31)/L31</f>
        <v/>
      </c>
      <c r="N31" s="27">
        <f>2*(1-NORMSDIST(ABS(M31)))</f>
        <v/>
      </c>
      <c r="O31" s="21">
        <f>原始資料!G31</f>
        <v/>
      </c>
      <c r="P31" s="28">
        <f>C31*INDEX(遊戲設定!$D$5:$D$9,MATCH(B31,遊戲設定!$A$5:$A$9,0))</f>
        <v/>
      </c>
      <c r="Q31" s="26">
        <f>(O31-P31)/SQRT(P31)</f>
        <v/>
      </c>
      <c r="R31" s="29">
        <f>原始資料!H31</f>
        <v/>
      </c>
      <c r="S31" s="23">
        <f>SUM($F$2:F31)/SUM($E$2:E31)</f>
        <v/>
      </c>
      <c r="T31" s="30">
        <f>IF(ABS(M31)&gt;遊戲設定!$B$10,"警示","正常")</f>
        <v/>
      </c>
      <c r="U31" s="30">
        <f>IF(ABS(H31-I31)&gt;遊戲設定!$B$11,"警示","正常")</f>
        <v/>
      </c>
      <c r="V31" s="23">
        <f>I31+遊戲設定!$B$10*L31</f>
        <v/>
      </c>
      <c r="W31" s="23">
        <f>I31-遊戲設定!$B$10*L31</f>
        <v/>
      </c>
      <c r="X31" s="30" t="n"/>
    </row>
    <row r="32">
      <c r="A32" s="31" t="inlineStr">
        <is>
          <t>月合計</t>
        </is>
      </c>
      <c r="B32" s="32" t="n"/>
      <c r="C32" s="33">
        <f>SUM(C2:C31)</f>
        <v/>
      </c>
      <c r="D32" s="32" t="n"/>
      <c r="E32" s="33">
        <f>SUM(E2:E31)</f>
        <v/>
      </c>
      <c r="F32" s="33">
        <f>SUM(F2:F31)</f>
        <v/>
      </c>
      <c r="G32" s="33">
        <f>SUM(G2:G31)</f>
        <v/>
      </c>
      <c r="H32" s="34">
        <f>F32/E32</f>
        <v/>
      </c>
      <c r="I32" s="32" t="n"/>
      <c r="J32" s="32" t="n"/>
      <c r="K32" s="32" t="n"/>
      <c r="L32" s="32" t="n"/>
      <c r="M32" s="32" t="n"/>
      <c r="N32" s="32" t="n"/>
      <c r="O32" s="33">
        <f>SUM(O2:O31)</f>
        <v/>
      </c>
      <c r="P32" s="35">
        <f>SUM(P2:P31)</f>
        <v/>
      </c>
      <c r="Q32" s="32" t="n"/>
      <c r="R32" s="32" t="n"/>
      <c r="S32" s="32" t="n"/>
      <c r="T32" s="31">
        <f>COUNTIF(T2:T31,"警示")&amp;" 天警示"</f>
        <v/>
      </c>
      <c r="U32" s="31">
        <f>COUNTIF(U2:U31,"警示")&amp;" 天警示"</f>
        <v/>
      </c>
      <c r="V32" s="32" t="n"/>
      <c r="W32" s="32" t="n"/>
      <c r="X32" s="32" t="n"/>
    </row>
  </sheetData>
  <conditionalFormatting sqref="A2:X31">
    <cfRule type="expression" priority="1" dxfId="0">
      <formula>$T2="警示"</formula>
    </cfRule>
  </conditionalFormatting>
  <conditionalFormatting sqref="U2:U31">
    <cfRule type="expression" priority="2" dxfId="1">
      <formula>$U2="警示"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3" customWidth="1" min="5" max="5"/>
    <col width="13" customWidth="1" min="6" max="6"/>
    <col width="13" customWidth="1" min="7" max="7"/>
    <col width="11" customWidth="1" min="8" max="8"/>
    <col width="14" customWidth="1" min="9" max="9"/>
    <col width="15" customWidth="1" min="10" max="10"/>
  </cols>
  <sheetData>
    <row r="1">
      <c r="A1" s="1" t="inlineStr">
        <is>
          <t>週報（依「日報」自動彙總）</t>
        </is>
      </c>
    </row>
    <row r="3" ht="30" customHeight="1">
      <c r="A3" s="8" t="inlineStr">
        <is>
          <t>週別</t>
        </is>
      </c>
      <c r="B3" s="8" t="inlineStr">
        <is>
          <t>起日</t>
        </is>
      </c>
      <c r="C3" s="8" t="inlineStr">
        <is>
          <t>迄日</t>
        </is>
      </c>
      <c r="D3" s="8" t="inlineStr">
        <is>
          <t>轉數</t>
        </is>
      </c>
      <c r="E3" s="8" t="inlineStr">
        <is>
          <t>總投注</t>
        </is>
      </c>
      <c r="F3" s="8" t="inlineStr">
        <is>
          <t>總派彩</t>
        </is>
      </c>
      <c r="G3" s="8" t="inlineStr">
        <is>
          <t>莊家淨收入</t>
        </is>
      </c>
      <c r="H3" s="8" t="inlineStr">
        <is>
          <t>實際 RTP</t>
        </is>
      </c>
      <c r="I3" s="8" t="inlineStr">
        <is>
          <t>z 檢定警示天數</t>
        </is>
      </c>
      <c r="J3" s="8" t="inlineStr">
        <is>
          <t>固定區間警示天數</t>
        </is>
      </c>
    </row>
    <row r="4">
      <c r="A4" s="30" t="inlineStr">
        <is>
          <t>第 1 週</t>
        </is>
      </c>
      <c r="B4" s="14" t="n">
        <v>46266</v>
      </c>
      <c r="C4" s="14" t="n">
        <v>46271</v>
      </c>
      <c r="D4" s="22">
        <f>SUMIFS(日報!$C$2:$C$31,日報!$A$2:$A$31,"&gt;="&amp;$B4,日報!$A$2:$A$31,"&lt;="&amp;$C4)</f>
        <v/>
      </c>
      <c r="E4" s="22">
        <f>SUMIFS(日報!$E$2:$E$31,日報!$A$2:$A$31,"&gt;="&amp;$B4,日報!$A$2:$A$31,"&lt;="&amp;$C4)</f>
        <v/>
      </c>
      <c r="F4" s="22">
        <f>SUMIFS(日報!$F$2:$F$31,日報!$A$2:$A$31,"&gt;="&amp;$B4,日報!$A$2:$A$31,"&lt;="&amp;$C4)</f>
        <v/>
      </c>
      <c r="G4" s="22">
        <f>SUMIFS(日報!$G$2:$G$31,日報!$A$2:$A$31,"&gt;="&amp;$B4,日報!$A$2:$A$31,"&lt;="&amp;$C4)</f>
        <v/>
      </c>
      <c r="H4" s="23">
        <f>IFERROR(F4/E4,0)</f>
        <v/>
      </c>
      <c r="I4" s="22">
        <f>COUNTIFS(日報!$A$2:$A$31,"&gt;="&amp;$B4,日報!$A$2:$A$31,"&lt;="&amp;$C4,日報!$T$2:$T$31,"警示")</f>
        <v/>
      </c>
      <c r="J4" s="22">
        <f>COUNTIFS(日報!$A$2:$A$31,"&gt;="&amp;$B4,日報!$A$2:$A$31,"&lt;="&amp;$C4,日報!$U$2:$U$31,"警示")</f>
        <v/>
      </c>
    </row>
    <row r="5">
      <c r="A5" s="30" t="inlineStr">
        <is>
          <t>第 2 週</t>
        </is>
      </c>
      <c r="B5" s="14" t="n">
        <v>46272</v>
      </c>
      <c r="C5" s="14" t="n">
        <v>46278</v>
      </c>
      <c r="D5" s="22">
        <f>SUMIFS(日報!$C$2:$C$31,日報!$A$2:$A$31,"&gt;="&amp;$B5,日報!$A$2:$A$31,"&lt;="&amp;$C5)</f>
        <v/>
      </c>
      <c r="E5" s="22">
        <f>SUMIFS(日報!$E$2:$E$31,日報!$A$2:$A$31,"&gt;="&amp;$B5,日報!$A$2:$A$31,"&lt;="&amp;$C5)</f>
        <v/>
      </c>
      <c r="F5" s="22">
        <f>SUMIFS(日報!$F$2:$F$31,日報!$A$2:$A$31,"&gt;="&amp;$B5,日報!$A$2:$A$31,"&lt;="&amp;$C5)</f>
        <v/>
      </c>
      <c r="G5" s="22">
        <f>SUMIFS(日報!$G$2:$G$31,日報!$A$2:$A$31,"&gt;="&amp;$B5,日報!$A$2:$A$31,"&lt;="&amp;$C5)</f>
        <v/>
      </c>
      <c r="H5" s="23">
        <f>IFERROR(F5/E5,0)</f>
        <v/>
      </c>
      <c r="I5" s="22">
        <f>COUNTIFS(日報!$A$2:$A$31,"&gt;="&amp;$B5,日報!$A$2:$A$31,"&lt;="&amp;$C5,日報!$T$2:$T$31,"警示")</f>
        <v/>
      </c>
      <c r="J5" s="22">
        <f>COUNTIFS(日報!$A$2:$A$31,"&gt;="&amp;$B5,日報!$A$2:$A$31,"&lt;="&amp;$C5,日報!$U$2:$U$31,"警示")</f>
        <v/>
      </c>
    </row>
    <row r="6">
      <c r="A6" s="30" t="inlineStr">
        <is>
          <t>第 3 週</t>
        </is>
      </c>
      <c r="B6" s="14" t="n">
        <v>46279</v>
      </c>
      <c r="C6" s="14" t="n">
        <v>46285</v>
      </c>
      <c r="D6" s="22">
        <f>SUMIFS(日報!$C$2:$C$31,日報!$A$2:$A$31,"&gt;="&amp;$B6,日報!$A$2:$A$31,"&lt;="&amp;$C6)</f>
        <v/>
      </c>
      <c r="E6" s="22">
        <f>SUMIFS(日報!$E$2:$E$31,日報!$A$2:$A$31,"&gt;="&amp;$B6,日報!$A$2:$A$31,"&lt;="&amp;$C6)</f>
        <v/>
      </c>
      <c r="F6" s="22">
        <f>SUMIFS(日報!$F$2:$F$31,日報!$A$2:$A$31,"&gt;="&amp;$B6,日報!$A$2:$A$31,"&lt;="&amp;$C6)</f>
        <v/>
      </c>
      <c r="G6" s="22">
        <f>SUMIFS(日報!$G$2:$G$31,日報!$A$2:$A$31,"&gt;="&amp;$B6,日報!$A$2:$A$31,"&lt;="&amp;$C6)</f>
        <v/>
      </c>
      <c r="H6" s="23">
        <f>IFERROR(F6/E6,0)</f>
        <v/>
      </c>
      <c r="I6" s="22">
        <f>COUNTIFS(日報!$A$2:$A$31,"&gt;="&amp;$B6,日報!$A$2:$A$31,"&lt;="&amp;$C6,日報!$T$2:$T$31,"警示")</f>
        <v/>
      </c>
      <c r="J6" s="22">
        <f>COUNTIFS(日報!$A$2:$A$31,"&gt;="&amp;$B6,日報!$A$2:$A$31,"&lt;="&amp;$C6,日報!$U$2:$U$31,"警示")</f>
        <v/>
      </c>
    </row>
    <row r="7">
      <c r="A7" s="30" t="inlineStr">
        <is>
          <t>第 4 週</t>
        </is>
      </c>
      <c r="B7" s="14" t="n">
        <v>46286</v>
      </c>
      <c r="C7" s="14" t="n">
        <v>46292</v>
      </c>
      <c r="D7" s="22">
        <f>SUMIFS(日報!$C$2:$C$31,日報!$A$2:$A$31,"&gt;="&amp;$B7,日報!$A$2:$A$31,"&lt;="&amp;$C7)</f>
        <v/>
      </c>
      <c r="E7" s="22">
        <f>SUMIFS(日報!$E$2:$E$31,日報!$A$2:$A$31,"&gt;="&amp;$B7,日報!$A$2:$A$31,"&lt;="&amp;$C7)</f>
        <v/>
      </c>
      <c r="F7" s="22">
        <f>SUMIFS(日報!$F$2:$F$31,日報!$A$2:$A$31,"&gt;="&amp;$B7,日報!$A$2:$A$31,"&lt;="&amp;$C7)</f>
        <v/>
      </c>
      <c r="G7" s="22">
        <f>SUMIFS(日報!$G$2:$G$31,日報!$A$2:$A$31,"&gt;="&amp;$B7,日報!$A$2:$A$31,"&lt;="&amp;$C7)</f>
        <v/>
      </c>
      <c r="H7" s="23">
        <f>IFERROR(F7/E7,0)</f>
        <v/>
      </c>
      <c r="I7" s="22">
        <f>COUNTIFS(日報!$A$2:$A$31,"&gt;="&amp;$B7,日報!$A$2:$A$31,"&lt;="&amp;$C7,日報!$T$2:$T$31,"警示")</f>
        <v/>
      </c>
      <c r="J7" s="22">
        <f>COUNTIFS(日報!$A$2:$A$31,"&gt;="&amp;$B7,日報!$A$2:$A$31,"&lt;="&amp;$C7,日報!$U$2:$U$31,"警示")</f>
        <v/>
      </c>
    </row>
    <row r="8">
      <c r="A8" s="30" t="inlineStr">
        <is>
          <t>第 5 週</t>
        </is>
      </c>
      <c r="B8" s="14" t="n">
        <v>46293</v>
      </c>
      <c r="C8" s="14" t="n">
        <v>46295</v>
      </c>
      <c r="D8" s="22">
        <f>SUMIFS(日報!$C$2:$C$31,日報!$A$2:$A$31,"&gt;="&amp;$B8,日報!$A$2:$A$31,"&lt;="&amp;$C8)</f>
        <v/>
      </c>
      <c r="E8" s="22">
        <f>SUMIFS(日報!$E$2:$E$31,日報!$A$2:$A$31,"&gt;="&amp;$B8,日報!$A$2:$A$31,"&lt;="&amp;$C8)</f>
        <v/>
      </c>
      <c r="F8" s="22">
        <f>SUMIFS(日報!$F$2:$F$31,日報!$A$2:$A$31,"&gt;="&amp;$B8,日報!$A$2:$A$31,"&lt;="&amp;$C8)</f>
        <v/>
      </c>
      <c r="G8" s="22">
        <f>SUMIFS(日報!$G$2:$G$31,日報!$A$2:$A$31,"&gt;="&amp;$B8,日報!$A$2:$A$31,"&lt;="&amp;$C8)</f>
        <v/>
      </c>
      <c r="H8" s="23">
        <f>IFERROR(F8/E8,0)</f>
        <v/>
      </c>
      <c r="I8" s="22">
        <f>COUNTIFS(日報!$A$2:$A$31,"&gt;="&amp;$B8,日報!$A$2:$A$31,"&lt;="&amp;$C8,日報!$T$2:$T$31,"警示")</f>
        <v/>
      </c>
      <c r="J8" s="22">
        <f>COUNTIFS(日報!$A$2:$A$31,"&gt;="&amp;$B8,日報!$A$2:$A$31,"&lt;="&amp;$C8,日報!$U$2:$U$31,"警示")</f>
        <v/>
      </c>
    </row>
    <row r="9">
      <c r="A9" s="31" t="inlineStr">
        <is>
          <t>合計</t>
        </is>
      </c>
      <c r="B9" s="32" t="n"/>
      <c r="C9" s="32" t="n"/>
      <c r="D9" s="33">
        <f>SUM(D4:D8)</f>
        <v/>
      </c>
      <c r="E9" s="33">
        <f>SUM(E4:E8)</f>
        <v/>
      </c>
      <c r="F9" s="33">
        <f>SUM(F4:F8)</f>
        <v/>
      </c>
      <c r="G9" s="33">
        <f>SUM(G4:G8)</f>
        <v/>
      </c>
      <c r="H9" s="34">
        <f>F9/E9</f>
        <v/>
      </c>
      <c r="I9" s="33">
        <f>SUM(I4:I8)</f>
        <v/>
      </c>
      <c r="J9" s="33">
        <f>SUM(J4:J8)</f>
        <v/>
      </c>
    </row>
    <row r="11">
      <c r="A11" s="2" t="inlineStr">
        <is>
          <t>週別起迄日為輸入值（黃底），新增週別時複製最後一列並修改日期即可。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1" customWidth="1" min="3" max="3"/>
    <col width="13" customWidth="1" min="4" max="4"/>
    <col width="13" customWidth="1" min="5" max="5"/>
    <col width="11" customWidth="1" min="6" max="6"/>
    <col width="11" customWidth="1" min="7" max="7"/>
    <col width="8" customWidth="1" min="8" max="8"/>
    <col width="11" customWidth="1" min="9" max="9"/>
    <col width="8" customWidth="1" min="10" max="10"/>
    <col width="10" customWidth="1" min="11" max="11"/>
    <col width="46" customWidth="1" min="12" max="12"/>
  </cols>
  <sheetData>
    <row r="1">
      <c r="A1" s="1" t="inlineStr">
        <is>
          <t>版本比較（各版本上線期間的累計表現）</t>
        </is>
      </c>
    </row>
    <row r="3" ht="30" customHeight="1">
      <c r="A3" s="8" t="inlineStr">
        <is>
          <t>版本</t>
        </is>
      </c>
      <c r="B3" s="8" t="inlineStr">
        <is>
          <t>天數</t>
        </is>
      </c>
      <c r="C3" s="8" t="inlineStr">
        <is>
          <t>轉數</t>
        </is>
      </c>
      <c r="D3" s="8" t="inlineStr">
        <is>
          <t>總投注</t>
        </is>
      </c>
      <c r="E3" s="8" t="inlineStr">
        <is>
          <t>總派彩</t>
        </is>
      </c>
      <c r="F3" s="8" t="inlineStr">
        <is>
          <t>實際 RTP</t>
        </is>
      </c>
      <c r="G3" s="8" t="inlineStr">
        <is>
          <t>理論 RTP</t>
        </is>
      </c>
      <c r="H3" s="8" t="inlineStr">
        <is>
          <t>σ</t>
        </is>
      </c>
      <c r="I3" s="8" t="inlineStr">
        <is>
          <t>等效轉數</t>
        </is>
      </c>
      <c r="J3" s="8" t="inlineStr">
        <is>
          <t>z 值</t>
        </is>
      </c>
      <c r="K3" s="8" t="inlineStr">
        <is>
          <t>判定</t>
        </is>
      </c>
      <c r="L3" s="8" t="inlineStr">
        <is>
          <t>說明</t>
        </is>
      </c>
    </row>
    <row r="4">
      <c r="A4" s="20">
        <f>遊戲設定!A5</f>
        <v/>
      </c>
      <c r="B4" s="22">
        <f>COUNTIF(日報!$B$2:$B$31,A4)</f>
        <v/>
      </c>
      <c r="C4" s="22">
        <f>SUMIF(日報!$B$2:$B$31,A4,日報!$C$2:$C$31)</f>
        <v/>
      </c>
      <c r="D4" s="22">
        <f>SUMIF(日報!$B$2:$B$31,A4,日報!$E$2:$E$31)</f>
        <v/>
      </c>
      <c r="E4" s="22">
        <f>SUMIF(日報!$B$2:$B$31,A4,日報!$F$2:$F$31)</f>
        <v/>
      </c>
      <c r="F4" s="23">
        <f>IFERROR(E4/D4,0)</f>
        <v/>
      </c>
      <c r="G4" s="24">
        <f>遊戲設定!B5</f>
        <v/>
      </c>
      <c r="H4" s="25">
        <f>遊戲設定!C5</f>
        <v/>
      </c>
      <c r="I4" s="22">
        <f>D4/遊戲設定!$B$12</f>
        <v/>
      </c>
      <c r="J4" s="26">
        <f>(F4-G4)/(H4/SQRT(I4))</f>
        <v/>
      </c>
      <c r="K4" s="30">
        <f>IF(ABS(J4)&gt;遊戲設定!$B$10,"異常","正常")</f>
        <v/>
      </c>
      <c r="L4" s="20">
        <f>遊戲設定!H5</f>
        <v/>
      </c>
    </row>
    <row r="5">
      <c r="A5" s="20">
        <f>遊戲設定!A6</f>
        <v/>
      </c>
      <c r="B5" s="22">
        <f>COUNTIF(日報!$B$2:$B$31,A5)</f>
        <v/>
      </c>
      <c r="C5" s="22">
        <f>SUMIF(日報!$B$2:$B$31,A5,日報!$C$2:$C$31)</f>
        <v/>
      </c>
      <c r="D5" s="22">
        <f>SUMIF(日報!$B$2:$B$31,A5,日報!$E$2:$E$31)</f>
        <v/>
      </c>
      <c r="E5" s="22">
        <f>SUMIF(日報!$B$2:$B$31,A5,日報!$F$2:$F$31)</f>
        <v/>
      </c>
      <c r="F5" s="23">
        <f>IFERROR(E5/D5,0)</f>
        <v/>
      </c>
      <c r="G5" s="24">
        <f>遊戲設定!B6</f>
        <v/>
      </c>
      <c r="H5" s="25">
        <f>遊戲設定!C6</f>
        <v/>
      </c>
      <c r="I5" s="22">
        <f>D5/遊戲設定!$B$12</f>
        <v/>
      </c>
      <c r="J5" s="26">
        <f>(F5-G5)/(H5/SQRT(I5))</f>
        <v/>
      </c>
      <c r="K5" s="30">
        <f>IF(ABS(J5)&gt;遊戲設定!$B$10,"異常","正常")</f>
        <v/>
      </c>
      <c r="L5" s="20">
        <f>遊戲設定!H6</f>
        <v/>
      </c>
    </row>
    <row r="6">
      <c r="A6" s="20">
        <f>遊戲設定!A7</f>
        <v/>
      </c>
      <c r="B6" s="22">
        <f>COUNTIF(日報!$B$2:$B$31,A6)</f>
        <v/>
      </c>
      <c r="C6" s="22">
        <f>SUMIF(日報!$B$2:$B$31,A6,日報!$C$2:$C$31)</f>
        <v/>
      </c>
      <c r="D6" s="22">
        <f>SUMIF(日報!$B$2:$B$31,A6,日報!$E$2:$E$31)</f>
        <v/>
      </c>
      <c r="E6" s="22">
        <f>SUMIF(日報!$B$2:$B$31,A6,日報!$F$2:$F$31)</f>
        <v/>
      </c>
      <c r="F6" s="23">
        <f>IFERROR(E6/D6,0)</f>
        <v/>
      </c>
      <c r="G6" s="24">
        <f>遊戲設定!B7</f>
        <v/>
      </c>
      <c r="H6" s="25">
        <f>遊戲設定!C7</f>
        <v/>
      </c>
      <c r="I6" s="22">
        <f>D6/遊戲設定!$B$12</f>
        <v/>
      </c>
      <c r="J6" s="26">
        <f>(F6-G6)/(H6/SQRT(I6))</f>
        <v/>
      </c>
      <c r="K6" s="30">
        <f>IF(ABS(J6)&gt;遊戲設定!$B$10,"異常","正常")</f>
        <v/>
      </c>
      <c r="L6" s="20">
        <f>遊戲設定!H7</f>
        <v/>
      </c>
    </row>
    <row r="8">
      <c r="A8" s="2" t="inlineStr">
        <is>
          <t>v1.3 累計 RTP 明顯偏高，與免費遊戲倍數設定錯誤相符；v1.3.1 修正後回到正常範圍。</t>
        </is>
      </c>
    </row>
  </sheetData>
  <conditionalFormatting sqref="A4:L6">
    <cfRule type="expression" priority="1" dxfId="0">
      <formula>$K4="異常"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圖表（資料來源：日報、週報）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2026-10-15T06:48:27Z</dcterms:created>
  <dcterms:modified xmlns:dcterms="http://purl.org/dc/terms/" xmlns:xsi="http://www.w3.org/2001/XMLSchema-instance" xsi:type="dcterms:W3CDTF">2026-10-15T06:48:27Z</dcterms:modified>
</cp:coreProperties>
</file>