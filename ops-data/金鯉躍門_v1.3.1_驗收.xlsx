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測試案例" sheetId="2" state="visible" r:id="rId2"/>
    <sheet xmlns:r="http://schemas.openxmlformats.org/officeDocument/2006/relationships" name="設定核對" sheetId="3" state="visible" r:id="rId3"/>
    <sheet xmlns:r="http://schemas.openxmlformats.org/officeDocument/2006/relationships" name="數學驗收" sheetId="4" state="visible" r:id="rId4"/>
    <sheet xmlns:r="http://schemas.openxmlformats.org/officeDocument/2006/relationships" name="Bug清單" sheetId="5" state="visible" r:id="rId5"/>
    <sheet xmlns:r="http://schemas.openxmlformats.org/officeDocument/2006/relationships" name="回歸測試" sheetId="6" state="visible" r:id="rId6"/>
  </sheets>
  <definedNames>
    <definedName name="_xlnm._FilterDatabase" localSheetId="1" hidden="1">'測試案例'!$A$1:$K$32</definedName>
    <definedName name="_xlnm._FilterDatabase" localSheetId="2" hidden="1">'設定核對'!$A$1:$G$83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%"/>
    <numFmt numFmtId="166" formatCode="yyyy-mm-dd"/>
  </numFmts>
  <fonts count="8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color rgb="00595959"/>
      <sz val="9"/>
    </font>
    <font>
      <name val="Microsoft JhengHei"/>
      <b val="1"/>
      <sz val="10"/>
    </font>
    <font>
      <name val="Microsoft JhengHei"/>
      <color rgb="000000FF"/>
      <sz val="10"/>
    </font>
    <font>
      <name val="Microsoft JhengHei"/>
      <sz val="10"/>
    </font>
    <font>
      <name val="Microsoft JhengHei"/>
      <color rgb="00008000"/>
      <sz val="10"/>
    </font>
    <font>
      <name val="Microsoft JhengHe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7A241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3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10" fontId="5" fillId="0" borderId="1" pivotButton="0" quotePrefix="0" xfId="0"/>
    <xf numFmtId="0" fontId="6" fillId="0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" fontId="4" fillId="3" borderId="1" pivotButton="0" quotePrefix="0" xfId="0"/>
    <xf numFmtId="0" fontId="5" fillId="2" borderId="1" pivotButton="0" quotePrefix="0" xfId="0"/>
    <xf numFmtId="3" fontId="3" fillId="2" borderId="1" pivotButton="0" quotePrefix="0" xfId="0"/>
    <xf numFmtId="0" fontId="2" fillId="0" borderId="1" pivotButton="0" quotePrefix="0" xfId="0"/>
    <xf numFmtId="3" fontId="4" fillId="3" borderId="1" pivotButton="0" quotePrefix="0" xfId="0"/>
    <xf numFmtId="10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2" fontId="4" fillId="3" borderId="1" pivotButton="0" quotePrefix="0" xfId="0"/>
    <xf numFmtId="165" fontId="5" fillId="0" borderId="1" pivotButton="0" quotePrefix="0" xfId="0"/>
    <xf numFmtId="2" fontId="5" fillId="0" borderId="1" pivotButton="0" quotePrefix="0" xfId="0"/>
    <xf numFmtId="166" fontId="4" fillId="3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DF0E2"/>
        </patternFill>
      </fill>
    </dxf>
    <dxf>
      <fill>
        <patternFill patternType="solid">
          <fgColor rgb="00F8D7D3"/>
        </patternFill>
      </fill>
    </dxf>
    <dxf>
      <fill>
        <patternFill patternType="solid">
          <fgColor rgb="00FCEBC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金鯉躍門 v1.3.1 驗收摘要</t>
        </is>
      </c>
    </row>
    <row r="2">
      <c r="A2" s="2" t="inlineStr">
        <is>
          <t>示範文件：情境為 v1.3 上線後被報表發現設定錯誤，修正版 v1.3.1 的驗收紀錄</t>
        </is>
      </c>
    </row>
    <row r="4">
      <c r="A4" s="3" t="inlineStr">
        <is>
          <t>遊戲</t>
        </is>
      </c>
      <c r="B4" s="4" t="inlineStr">
        <is>
          <t>金鯉躍門</t>
        </is>
      </c>
    </row>
    <row r="5">
      <c r="A5" s="3" t="inlineStr">
        <is>
          <t>驗收版本</t>
        </is>
      </c>
      <c r="B5" s="4" t="inlineStr">
        <is>
          <t>v1.3.1</t>
        </is>
      </c>
    </row>
    <row r="6">
      <c r="A6" s="3" t="inlineStr">
        <is>
          <t>驗收期間</t>
        </is>
      </c>
      <c r="B6" s="4" t="inlineStr">
        <is>
          <t>2026-09-24 ～ 2026-09-25</t>
        </is>
      </c>
    </row>
    <row r="7">
      <c r="A7" s="3" t="inlineStr">
        <is>
          <t>驗收人員</t>
        </is>
      </c>
      <c r="B7" s="4" t="inlineStr">
        <is>
          <t>（填入姓名）</t>
        </is>
      </c>
    </row>
    <row r="8">
      <c r="A8" s="3" t="inlineStr">
        <is>
          <t>驗收依據</t>
        </is>
      </c>
      <c r="B8" s="4" t="inlineStr">
        <is>
          <t>遊戲規格書 v1.3、數值規格表 2026-08、Bug 清單 BUG-01</t>
        </is>
      </c>
    </row>
    <row r="10">
      <c r="A10" s="5" t="inlineStr">
        <is>
          <t>測試案例統計</t>
        </is>
      </c>
    </row>
    <row r="11">
      <c r="A11" s="6" t="inlineStr">
        <is>
          <t>案例總數</t>
        </is>
      </c>
      <c r="B11" s="7">
        <f>COUNTIF(測試案例!A2:A200,"TC-*")</f>
        <v/>
      </c>
    </row>
    <row r="12">
      <c r="A12" s="6" t="inlineStr">
        <is>
          <t>通過</t>
        </is>
      </c>
      <c r="B12" s="7">
        <f>COUNTIF(測試案例!H2:H200,"通過")</f>
        <v/>
      </c>
    </row>
    <row r="13">
      <c r="A13" s="6" t="inlineStr">
        <is>
          <t>不通過</t>
        </is>
      </c>
      <c r="B13" s="7">
        <f>COUNTIF(測試案例!H2:H200,"不通過")</f>
        <v/>
      </c>
    </row>
    <row r="14">
      <c r="A14" s="6" t="inlineStr">
        <is>
          <t>阻擋（無法測試）</t>
        </is>
      </c>
      <c r="B14" s="7">
        <f>COUNTIF(測試案例!H2:H200,"阻擋")</f>
        <v/>
      </c>
    </row>
    <row r="15">
      <c r="A15" s="6" t="inlineStr">
        <is>
          <t>未執行</t>
        </is>
      </c>
      <c r="B15" s="7">
        <f>COUNTIF(測試案例!H2:H200,"未執行")</f>
        <v/>
      </c>
    </row>
    <row r="16">
      <c r="A16" s="6" t="inlineStr">
        <is>
          <t>通過率（已執行）</t>
        </is>
      </c>
      <c r="B16" s="8">
        <f>IFERROR(B12/(B11-B15),0)</f>
        <v/>
      </c>
    </row>
    <row r="18">
      <c r="A18" s="5" t="inlineStr">
        <is>
          <t>上線條件</t>
        </is>
      </c>
    </row>
    <row r="19">
      <c r="A19" s="6" t="inlineStr">
        <is>
          <t>高嚴重度未關閉 Bug</t>
        </is>
      </c>
      <c r="B19" s="7">
        <f>COUNTIFS(Bug清單!D2:D50,"高",Bug清單!J2:J50,"&lt;&gt;已關閉")</f>
        <v/>
      </c>
    </row>
    <row r="20">
      <c r="A20" s="6" t="inlineStr">
        <is>
          <t>中低嚴重度未關閉 Bug</t>
        </is>
      </c>
      <c r="B20" s="7">
        <f>COUNTIFS(Bug清單!D2:D50,"中",Bug清單!J2:J50,"&lt;&gt;已關閉")+COUNTIFS(Bug清單!D2:D50,"低",Bug清單!J2:J50,"&lt;&gt;已關閉")</f>
        <v/>
      </c>
    </row>
    <row r="21">
      <c r="A21" s="6" t="inlineStr">
        <is>
          <t>設定核對不一致（v1.3.1）</t>
        </is>
      </c>
      <c r="B21" s="7">
        <f>COUNTIF(設定核對!G2:G200,"不一致")</f>
        <v/>
      </c>
    </row>
    <row r="22">
      <c r="A22" s="6" t="inlineStr">
        <is>
          <t>數學驗收（RTP）</t>
        </is>
      </c>
      <c r="B22" s="9">
        <f>數學驗收!C16</f>
        <v/>
      </c>
    </row>
    <row r="23">
      <c r="A23" s="6" t="inlineStr">
        <is>
          <t>數學驗收（觸發率）</t>
        </is>
      </c>
      <c r="B23" s="9">
        <f>數學驗收!C20</f>
        <v/>
      </c>
    </row>
    <row r="25">
      <c r="A25" s="3" t="inlineStr">
        <is>
          <t>驗收結論</t>
        </is>
      </c>
      <c r="B25" s="3">
        <f>IF(AND(B19=0,B21=0,B22="通過",B23="通過"),IF(B20=0,"可上線","可上線（"&amp;B20&amp;" 項中低嚴重度問題列入後續修正）"),"不可上線")</f>
        <v/>
      </c>
    </row>
    <row r="27">
      <c r="A27" s="2" t="inlineStr">
        <is>
          <t>結論規則：高嚴重度 Bug 全部關閉、設定與 數值規格表完全一致、數學驗收通過，才可上線。</t>
        </is>
      </c>
    </row>
  </sheetData>
  <conditionalFormatting sqref="B25">
    <cfRule type="expression" priority="1" dxfId="0">
      <formula>LEFT($B$25,3)="可上線"</formula>
    </cfRule>
    <cfRule type="expression" priority="2" dxfId="1">
      <formula>$B$25="不可上線"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20" customWidth="1" min="4" max="4"/>
    <col width="30" customWidth="1" min="5" max="5"/>
    <col width="28" customWidth="1" min="6" max="6"/>
    <col width="22" customWidth="1" min="7" max="7"/>
    <col width="8" customWidth="1" min="8" max="8"/>
    <col width="7" customWidth="1" min="9" max="9"/>
    <col width="9" customWidth="1" min="10" max="10"/>
    <col width="28" customWidth="1" min="11" max="11"/>
  </cols>
  <sheetData>
    <row r="1" ht="30" customHeight="1">
      <c r="A1" s="10" t="inlineStr">
        <is>
          <t>編號</t>
        </is>
      </c>
      <c r="B1" s="10" t="inlineStr">
        <is>
          <t>類別</t>
        </is>
      </c>
      <c r="C1" s="10" t="inlineStr">
        <is>
          <t>測試項目</t>
        </is>
      </c>
      <c r="D1" s="10" t="inlineStr">
        <is>
          <t>前置條件</t>
        </is>
      </c>
      <c r="E1" s="10" t="inlineStr">
        <is>
          <t>步驟／盤面</t>
        </is>
      </c>
      <c r="F1" s="10" t="inlineStr">
        <is>
          <t>預期結果</t>
        </is>
      </c>
      <c r="G1" s="10" t="inlineStr">
        <is>
          <t>實際結果</t>
        </is>
      </c>
      <c r="H1" s="10" t="inlineStr">
        <is>
          <t>結果</t>
        </is>
      </c>
      <c r="I1" s="10" t="inlineStr">
        <is>
          <t>嚴重度</t>
        </is>
      </c>
      <c r="J1" s="10" t="inlineStr">
        <is>
          <t>Bug 編號</t>
        </is>
      </c>
      <c r="K1" s="10" t="inlineStr">
        <is>
          <t>備註</t>
        </is>
      </c>
    </row>
    <row r="2">
      <c r="A2" s="6" t="inlineStr">
        <is>
          <t>TC-001</t>
        </is>
      </c>
      <c r="B2" s="11" t="inlineStr">
        <is>
          <t>設定核對</t>
        </is>
      </c>
      <c r="C2" s="11" t="inlineStr">
        <is>
          <t>輪帶停點數與 數值規格表一致</t>
        </is>
      </c>
      <c r="D2" s="11" t="inlineStr">
        <is>
          <t>取得 v1.3.1 匯出設定</t>
        </is>
      </c>
      <c r="E2" s="11" t="inlineStr">
        <is>
          <t>依「設定核對」頁逐項比對 50 項</t>
        </is>
      </c>
      <c r="F2" s="11" t="inlineStr">
        <is>
          <t>全部一致</t>
        </is>
      </c>
      <c r="G2" s="12" t="inlineStr">
        <is>
          <t>全部一致</t>
        </is>
      </c>
      <c r="H2" s="12" t="inlineStr">
        <is>
          <t>通過</t>
        </is>
      </c>
      <c r="I2" s="12" t="n"/>
      <c r="J2" s="12" t="n"/>
      <c r="K2" s="12" t="n"/>
    </row>
    <row r="3">
      <c r="A3" s="6" t="inlineStr">
        <is>
          <t>TC-002</t>
        </is>
      </c>
      <c r="B3" s="11" t="inlineStr">
        <is>
          <t>設定核對</t>
        </is>
      </c>
      <c r="C3" s="11" t="inlineStr">
        <is>
          <t>賠率表與 數值規格表一致</t>
        </is>
      </c>
      <c r="D3" s="11" t="inlineStr">
        <is>
          <t>同上</t>
        </is>
      </c>
      <c r="E3" s="11" t="inlineStr">
        <is>
          <t>逐項比對 27 項賠率</t>
        </is>
      </c>
      <c r="F3" s="11" t="inlineStr">
        <is>
          <t>全部一致</t>
        </is>
      </c>
      <c r="G3" s="12" t="inlineStr">
        <is>
          <t>全部一致</t>
        </is>
      </c>
      <c r="H3" s="12" t="inlineStr">
        <is>
          <t>通過</t>
        </is>
      </c>
      <c r="I3" s="12" t="n"/>
      <c r="J3" s="12" t="n"/>
      <c r="K3" s="12" t="n"/>
    </row>
    <row r="4">
      <c r="A4" s="6" t="inlineStr">
        <is>
          <t>TC-003</t>
        </is>
      </c>
      <c r="B4" s="11" t="inlineStr">
        <is>
          <t>設定核對</t>
        </is>
      </c>
      <c r="C4" s="11" t="inlineStr">
        <is>
          <t>分散賠付與免費遊戲設定一致</t>
        </is>
      </c>
      <c r="D4" s="11" t="inlineStr">
        <is>
          <t>同上</t>
        </is>
      </c>
      <c r="E4" s="11" t="inlineStr">
        <is>
          <t>比對分散賠付 3 項、免費場次、免費倍數</t>
        </is>
      </c>
      <c r="F4" s="11" t="inlineStr">
        <is>
          <t>全部一致</t>
        </is>
      </c>
      <c r="G4" s="12" t="inlineStr">
        <is>
          <t>全部一致</t>
        </is>
      </c>
      <c r="H4" s="12" t="inlineStr">
        <is>
          <t>通過</t>
        </is>
      </c>
      <c r="I4" s="12" t="n"/>
      <c r="J4" s="12" t="n"/>
      <c r="K4" s="12" t="inlineStr">
        <is>
          <t>v1.3 的免費倍數為 3，見 BUG-01</t>
        </is>
      </c>
    </row>
    <row r="5">
      <c r="A5" s="6" t="inlineStr">
        <is>
          <t>TC-004</t>
        </is>
      </c>
      <c r="B5" s="11" t="inlineStr">
        <is>
          <t>連線判定</t>
        </is>
      </c>
      <c r="C5" s="11" t="inlineStr">
        <is>
          <t>基本 3 連</t>
        </is>
      </c>
      <c r="D5" s="11" t="inlineStr">
        <is>
          <t>每線押 1，測試模式指定停輪</t>
        </is>
      </c>
      <c r="E5" s="11" t="inlineStr">
        <is>
          <t>第 1 線：寶 寶 寶 J Q</t>
        </is>
      </c>
      <c r="F5" s="11" t="inlineStr">
        <is>
          <t>寶 3 連，贏 50</t>
        </is>
      </c>
      <c r="G5" s="12" t="inlineStr">
        <is>
          <t>贏 50</t>
        </is>
      </c>
      <c r="H5" s="12" t="inlineStr">
        <is>
          <t>通過</t>
        </is>
      </c>
      <c r="I5" s="12" t="n"/>
      <c r="J5" s="12" t="n"/>
      <c r="K5" s="12" t="n"/>
    </row>
    <row r="6">
      <c r="A6" s="6" t="inlineStr">
        <is>
          <t>TC-005</t>
        </is>
      </c>
      <c r="B6" s="11" t="inlineStr">
        <is>
          <t>連線判定</t>
        </is>
      </c>
      <c r="C6" s="11" t="inlineStr">
        <is>
          <t>基本 4 連</t>
        </is>
      </c>
      <c r="D6" s="11" t="inlineStr">
        <is>
          <t>同上</t>
        </is>
      </c>
      <c r="E6" s="11" t="inlineStr">
        <is>
          <t>第 1 線：寶 寶 寶 寶 Q</t>
        </is>
      </c>
      <c r="F6" s="11" t="inlineStr">
        <is>
          <t>寶 4 連，贏 200</t>
        </is>
      </c>
      <c r="G6" s="12" t="inlineStr">
        <is>
          <t>贏 200</t>
        </is>
      </c>
      <c r="H6" s="12" t="inlineStr">
        <is>
          <t>通過</t>
        </is>
      </c>
      <c r="I6" s="12" t="n"/>
      <c r="J6" s="12" t="n"/>
      <c r="K6" s="12" t="n"/>
    </row>
    <row r="7">
      <c r="A7" s="6" t="inlineStr">
        <is>
          <t>TC-006</t>
        </is>
      </c>
      <c r="B7" s="11" t="inlineStr">
        <is>
          <t>連線判定</t>
        </is>
      </c>
      <c r="C7" s="11" t="inlineStr">
        <is>
          <t>基本 5 連</t>
        </is>
      </c>
      <c r="D7" s="11" t="inlineStr">
        <is>
          <t>同上</t>
        </is>
      </c>
      <c r="E7" s="11" t="inlineStr">
        <is>
          <t>第 1 線：寶 寶 寶 寶 寶</t>
        </is>
      </c>
      <c r="F7" s="11" t="inlineStr">
        <is>
          <t>寶 5 連，贏 1,000</t>
        </is>
      </c>
      <c r="G7" s="12" t="inlineStr">
        <is>
          <t>贏 1,000</t>
        </is>
      </c>
      <c r="H7" s="12" t="inlineStr">
        <is>
          <t>通過</t>
        </is>
      </c>
      <c r="I7" s="12" t="n"/>
      <c r="J7" s="12" t="n"/>
      <c r="K7" s="12" t="n"/>
    </row>
    <row r="8">
      <c r="A8" s="6" t="inlineStr">
        <is>
          <t>TC-007</t>
        </is>
      </c>
      <c r="B8" s="11" t="inlineStr">
        <is>
          <t>連線判定</t>
        </is>
      </c>
      <c r="C8" s="11" t="inlineStr">
        <is>
          <t>必須從最左軸起算</t>
        </is>
      </c>
      <c r="D8" s="11" t="inlineStr">
        <is>
          <t>同上</t>
        </is>
      </c>
      <c r="E8" s="11" t="inlineStr">
        <is>
          <t>第 1 線：J 寶 寶 寶 寶</t>
        </is>
      </c>
      <c r="F8" s="11" t="inlineStr">
        <is>
          <t>不中獎</t>
        </is>
      </c>
      <c r="G8" s="12" t="inlineStr">
        <is>
          <t>不中獎</t>
        </is>
      </c>
      <c r="H8" s="12" t="inlineStr">
        <is>
          <t>通過</t>
        </is>
      </c>
      <c r="I8" s="12" t="n"/>
      <c r="J8" s="12" t="n"/>
      <c r="K8" s="12" t="inlineStr">
        <is>
          <t>邊界：右側 4 連不算</t>
        </is>
      </c>
    </row>
    <row r="9">
      <c r="A9" s="6" t="inlineStr">
        <is>
          <t>TC-008</t>
        </is>
      </c>
      <c r="B9" s="11" t="inlineStr">
        <is>
          <t>連線判定</t>
        </is>
      </c>
      <c r="C9" s="11" t="inlineStr">
        <is>
          <t>中間斷開不算連線</t>
        </is>
      </c>
      <c r="D9" s="11" t="inlineStr">
        <is>
          <t>同上</t>
        </is>
      </c>
      <c r="E9" s="11" t="inlineStr">
        <is>
          <t>第 1 線：寶 寶 J 寶 寶</t>
        </is>
      </c>
      <c r="F9" s="11" t="inlineStr">
        <is>
          <t>不中獎（只有 2 連）</t>
        </is>
      </c>
      <c r="G9" s="12" t="inlineStr">
        <is>
          <t>不中獎</t>
        </is>
      </c>
      <c r="H9" s="12" t="inlineStr">
        <is>
          <t>通過</t>
        </is>
      </c>
      <c r="I9" s="12" t="n"/>
      <c r="J9" s="12" t="n"/>
      <c r="K9" s="12" t="n"/>
    </row>
    <row r="10">
      <c r="A10" s="6" t="inlineStr">
        <is>
          <t>TC-009</t>
        </is>
      </c>
      <c r="B10" s="11" t="inlineStr">
        <is>
          <t>連線判定</t>
        </is>
      </c>
      <c r="C10" s="11" t="inlineStr">
        <is>
          <t>非直線連線</t>
        </is>
      </c>
      <c r="D10" s="11" t="inlineStr">
        <is>
          <t>同上</t>
        </is>
      </c>
      <c r="E10" s="11" t="inlineStr">
        <is>
          <t>第 4 線（V 形）：上 中 下 中 上 皆為 燈</t>
        </is>
      </c>
      <c r="F10" s="11" t="inlineStr">
        <is>
          <t>燈 5 連，贏 300</t>
        </is>
      </c>
      <c r="G10" s="12" t="inlineStr">
        <is>
          <t>贏 300</t>
        </is>
      </c>
      <c r="H10" s="12" t="inlineStr">
        <is>
          <t>通過</t>
        </is>
      </c>
      <c r="I10" s="12" t="n"/>
      <c r="J10" s="12" t="n"/>
      <c r="K10" s="12" t="inlineStr">
        <is>
          <t>抽查 20 條線中的 5 條</t>
        </is>
      </c>
    </row>
    <row r="11">
      <c r="A11" s="6" t="inlineStr">
        <is>
          <t>TC-010</t>
        </is>
      </c>
      <c r="B11" s="11" t="inlineStr">
        <is>
          <t>百搭</t>
        </is>
      </c>
      <c r="C11" s="11" t="inlineStr">
        <is>
          <t>百搭替代延伸連線</t>
        </is>
      </c>
      <c r="D11" s="11" t="inlineStr">
        <is>
          <t>同上</t>
        </is>
      </c>
      <c r="E11" s="11" t="inlineStr">
        <is>
          <t>第 1 線：寶 鯉 鯉 鯉 鯉</t>
        </is>
      </c>
      <c r="F11" s="11" t="inlineStr">
        <is>
          <t>寶 5 連，贏 1,000</t>
        </is>
      </c>
      <c r="G11" s="12" t="inlineStr">
        <is>
          <t>贏 1,000</t>
        </is>
      </c>
      <c r="H11" s="12" t="inlineStr">
        <is>
          <t>通過</t>
        </is>
      </c>
      <c r="I11" s="12" t="n"/>
      <c r="J11" s="12" t="n"/>
      <c r="K11" s="12" t="n"/>
    </row>
    <row r="12">
      <c r="A12" s="6" t="inlineStr">
        <is>
          <t>TC-011</t>
        </is>
      </c>
      <c r="B12" s="11" t="inlineStr">
        <is>
          <t>百搭</t>
        </is>
      </c>
      <c r="C12" s="11" t="inlineStr">
        <is>
          <t>百搭不替代分散符號</t>
        </is>
      </c>
      <c r="D12" s="11" t="inlineStr">
        <is>
          <t>同上</t>
        </is>
      </c>
      <c r="E12" s="11" t="inlineStr">
        <is>
          <t>第 1 線：寶 鯉 門 寶 寶</t>
        </is>
      </c>
      <c r="F12" s="11" t="inlineStr">
        <is>
          <t>連線不中獎（寶 2 連）</t>
        </is>
      </c>
      <c r="G12" s="12" t="inlineStr">
        <is>
          <t>連線不中獎</t>
        </is>
      </c>
      <c r="H12" s="12" t="inlineStr">
        <is>
          <t>通過</t>
        </is>
      </c>
      <c r="I12" s="12" t="n"/>
      <c r="J12" s="12" t="n"/>
      <c r="K12" s="12" t="inlineStr">
        <is>
          <t>門另依分散規則計算</t>
        </is>
      </c>
    </row>
    <row r="13">
      <c r="A13" s="6" t="inlineStr">
        <is>
          <t>TC-012</t>
        </is>
      </c>
      <c r="B13" s="11" t="inlineStr">
        <is>
          <t>百搭</t>
        </is>
      </c>
      <c r="C13" s="11" t="inlineStr">
        <is>
          <t>第 1 軸不會出現百搭</t>
        </is>
      </c>
      <c r="D13" s="11" t="inlineStr">
        <is>
          <t>測試模式逐一指定第 1 軸停點</t>
        </is>
      </c>
      <c r="E13" s="11" t="inlineStr">
        <is>
          <t>第 1 軸 36 個停點全部檢查</t>
        </is>
      </c>
      <c r="F13" s="11" t="inlineStr">
        <is>
          <t>沒有任何停點出現鯉</t>
        </is>
      </c>
      <c r="G13" s="12" t="inlineStr">
        <is>
          <t>未出現</t>
        </is>
      </c>
      <c r="H13" s="12" t="inlineStr">
        <is>
          <t>通過</t>
        </is>
      </c>
      <c r="I13" s="12" t="n"/>
      <c r="J13" s="12" t="n"/>
      <c r="K13" s="12" t="inlineStr">
        <is>
          <t>設計規則</t>
        </is>
      </c>
    </row>
    <row r="14">
      <c r="A14" s="6" t="inlineStr">
        <is>
          <t>TC-013</t>
        </is>
      </c>
      <c r="B14" s="11" t="inlineStr">
        <is>
          <t>分散</t>
        </is>
      </c>
      <c r="C14" s="11" t="inlineStr">
        <is>
          <t>3 個門：賠付並觸發</t>
        </is>
      </c>
      <c r="D14" s="11" t="inlineStr">
        <is>
          <t>每線押 1</t>
        </is>
      </c>
      <c r="E14" s="11" t="inlineStr">
        <is>
          <t>第 1、3、5 軸各出現 1 個門</t>
        </is>
      </c>
      <c r="F14" s="11" t="inlineStr">
        <is>
          <t>贏 40（2 × 總押注 20），觸發 10 場</t>
        </is>
      </c>
      <c r="G14" s="12" t="inlineStr">
        <is>
          <t>贏 40，觸發 10 場</t>
        </is>
      </c>
      <c r="H14" s="12" t="inlineStr">
        <is>
          <t>通過</t>
        </is>
      </c>
      <c r="I14" s="12" t="n"/>
      <c r="J14" s="12" t="n"/>
      <c r="K14" s="12" t="n"/>
    </row>
    <row r="15">
      <c r="A15" s="6" t="inlineStr">
        <is>
          <t>TC-014</t>
        </is>
      </c>
      <c r="B15" s="11" t="inlineStr">
        <is>
          <t>分散</t>
        </is>
      </c>
      <c r="C15" s="11" t="inlineStr">
        <is>
          <t>4 個門</t>
        </is>
      </c>
      <c r="D15" s="11" t="inlineStr">
        <is>
          <t>同上</t>
        </is>
      </c>
      <c r="E15" s="11" t="inlineStr">
        <is>
          <t>第 1–4 軸各出現 1 個門</t>
        </is>
      </c>
      <c r="F15" s="11" t="inlineStr">
        <is>
          <t>贏 200，觸發 10 場</t>
        </is>
      </c>
      <c r="G15" s="12" t="inlineStr">
        <is>
          <t>贏 200，觸發 10 場</t>
        </is>
      </c>
      <c r="H15" s="12" t="inlineStr">
        <is>
          <t>通過</t>
        </is>
      </c>
      <c r="I15" s="12" t="n"/>
      <c r="J15" s="12" t="n"/>
      <c r="K15" s="12" t="n"/>
    </row>
    <row r="16">
      <c r="A16" s="6" t="inlineStr">
        <is>
          <t>TC-015</t>
        </is>
      </c>
      <c r="B16" s="11" t="inlineStr">
        <is>
          <t>分散</t>
        </is>
      </c>
      <c r="C16" s="11" t="inlineStr">
        <is>
          <t>5 個門</t>
        </is>
      </c>
      <c r="D16" s="11" t="inlineStr">
        <is>
          <t>同上</t>
        </is>
      </c>
      <c r="E16" s="11" t="inlineStr">
        <is>
          <t>五軸各出現 1 個門</t>
        </is>
      </c>
      <c r="F16" s="11" t="inlineStr">
        <is>
          <t>贏 1,000，觸發 10 場</t>
        </is>
      </c>
      <c r="G16" s="12" t="inlineStr">
        <is>
          <t>贏 1,000，觸發 10 場</t>
        </is>
      </c>
      <c r="H16" s="12" t="inlineStr">
        <is>
          <t>通過</t>
        </is>
      </c>
      <c r="I16" s="12" t="n"/>
      <c r="J16" s="12" t="n"/>
      <c r="K16" s="12" t="n"/>
    </row>
    <row r="17">
      <c r="A17" s="6" t="inlineStr">
        <is>
          <t>TC-016</t>
        </is>
      </c>
      <c r="B17" s="11" t="inlineStr">
        <is>
          <t>分散</t>
        </is>
      </c>
      <c r="C17" s="11" t="inlineStr">
        <is>
          <t>同一軸視窗最多 1 個門</t>
        </is>
      </c>
      <c r="D17" s="11" t="inlineStr">
        <is>
          <t>取得輪帶排列</t>
        </is>
      </c>
      <c r="E17" s="11" t="inlineStr">
        <is>
          <t>檢查每軸相鄰兩個門的間距</t>
        </is>
      </c>
      <c r="F17" s="11" t="inlineStr">
        <is>
          <t>間距皆 ≥ 3</t>
        </is>
      </c>
      <c r="G17" s="12" t="inlineStr">
        <is>
          <t>最小間距 18</t>
        </is>
      </c>
      <c r="H17" s="12" t="inlineStr">
        <is>
          <t>通過</t>
        </is>
      </c>
      <c r="I17" s="12" t="n"/>
      <c r="J17" s="12" t="n"/>
      <c r="K17" s="12" t="n"/>
    </row>
    <row r="18">
      <c r="A18" s="6" t="inlineStr">
        <is>
          <t>TC-017</t>
        </is>
      </c>
      <c r="B18" s="11" t="inlineStr">
        <is>
          <t>免費遊戲</t>
        </is>
      </c>
      <c r="C18" s="11" t="inlineStr">
        <is>
          <t>免費場次</t>
        </is>
      </c>
      <c r="D18" s="11" t="inlineStr">
        <is>
          <t>觸發免費遊戲</t>
        </is>
      </c>
      <c r="E18" s="11" t="inlineStr">
        <is>
          <t>計算實際進行場次（無再觸發）</t>
        </is>
      </c>
      <c r="F18" s="11" t="inlineStr">
        <is>
          <t>10 場</t>
        </is>
      </c>
      <c r="G18" s="12" t="inlineStr">
        <is>
          <t>10 場</t>
        </is>
      </c>
      <c r="H18" s="12" t="inlineStr">
        <is>
          <t>通過</t>
        </is>
      </c>
      <c r="I18" s="12" t="n"/>
      <c r="J18" s="12" t="n"/>
      <c r="K18" s="12" t="n"/>
    </row>
    <row r="19">
      <c r="A19" s="6" t="inlineStr">
        <is>
          <t>TC-018</t>
        </is>
      </c>
      <c r="B19" s="11" t="inlineStr">
        <is>
          <t>免費遊戲</t>
        </is>
      </c>
      <c r="C19" s="11" t="inlineStr">
        <is>
          <t>免費遊戲贏分倍數</t>
        </is>
      </c>
      <c r="D19" s="11" t="inlineStr">
        <is>
          <t>免費遊戲中，每線押 1</t>
        </is>
      </c>
      <c r="E19" s="11" t="inlineStr">
        <is>
          <t>第 1 線：寶 寶 寶 J Q</t>
        </is>
      </c>
      <c r="F19" s="11" t="inlineStr">
        <is>
          <t>贏 100（50 × 2）</t>
        </is>
      </c>
      <c r="G19" s="12" t="inlineStr">
        <is>
          <t>贏 100</t>
        </is>
      </c>
      <c r="H19" s="12" t="inlineStr">
        <is>
          <t>通過</t>
        </is>
      </c>
      <c r="I19" s="12" t="n"/>
      <c r="J19" s="12" t="inlineStr">
        <is>
          <t>BUG-01</t>
        </is>
      </c>
      <c r="K19" s="12" t="inlineStr">
        <is>
          <t>v1.3 實際贏 150，回歸驗證已修正</t>
        </is>
      </c>
    </row>
    <row r="20">
      <c r="A20" s="6" t="inlineStr">
        <is>
          <t>TC-019</t>
        </is>
      </c>
      <c r="B20" s="11" t="inlineStr">
        <is>
          <t>免費遊戲</t>
        </is>
      </c>
      <c r="C20" s="11" t="inlineStr">
        <is>
          <t>免費遊戲中再觸發</t>
        </is>
      </c>
      <c r="D20" s="11" t="inlineStr">
        <is>
          <t>免費遊戲第 4 場</t>
        </is>
      </c>
      <c r="E20" s="11" t="inlineStr">
        <is>
          <t>出現 3 個門</t>
        </is>
      </c>
      <c r="F20" s="11" t="inlineStr">
        <is>
          <t>剩餘場次 +10（6 → 16）</t>
        </is>
      </c>
      <c r="G20" s="12" t="inlineStr">
        <is>
          <t>6 → 16</t>
        </is>
      </c>
      <c r="H20" s="12" t="inlineStr">
        <is>
          <t>通過</t>
        </is>
      </c>
      <c r="I20" s="12" t="n"/>
      <c r="J20" s="12" t="n"/>
      <c r="K20" s="12" t="n"/>
    </row>
    <row r="21">
      <c r="A21" s="6" t="inlineStr">
        <is>
          <t>TC-020</t>
        </is>
      </c>
      <c r="B21" s="11" t="inlineStr">
        <is>
          <t>免費遊戲</t>
        </is>
      </c>
      <c r="C21" s="11" t="inlineStr">
        <is>
          <t>免費遊戲中分散賠付也乘倍數</t>
        </is>
      </c>
      <c r="D21" s="11" t="inlineStr">
        <is>
          <t>免費遊戲中</t>
        </is>
      </c>
      <c r="E21" s="11" t="inlineStr">
        <is>
          <t>出現 3 個門</t>
        </is>
      </c>
      <c r="F21" s="11" t="inlineStr">
        <is>
          <t>分散贏 80（40 × 2）</t>
        </is>
      </c>
      <c r="G21" s="12" t="inlineStr">
        <is>
          <t>贏 80</t>
        </is>
      </c>
      <c r="H21" s="12" t="inlineStr">
        <is>
          <t>通過</t>
        </is>
      </c>
      <c r="I21" s="12" t="n"/>
      <c r="J21" s="12" t="inlineStr">
        <is>
          <t>BUG-01</t>
        </is>
      </c>
      <c r="K21" s="12" t="n"/>
    </row>
    <row r="22">
      <c r="A22" s="6" t="inlineStr">
        <is>
          <t>TC-021</t>
        </is>
      </c>
      <c r="B22" s="11" t="inlineStr">
        <is>
          <t>押注與餘額</t>
        </is>
      </c>
      <c r="C22" s="11" t="inlineStr">
        <is>
          <t>總押注扣款正確</t>
        </is>
      </c>
      <c r="D22" s="11" t="inlineStr">
        <is>
          <t>餘額 10,000</t>
        </is>
      </c>
      <c r="E22" s="11" t="inlineStr">
        <is>
          <t>每線押 1、2、5 各轉一次</t>
        </is>
      </c>
      <c r="F22" s="11" t="inlineStr">
        <is>
          <t>扣 20、40、100</t>
        </is>
      </c>
      <c r="G22" s="12" t="inlineStr">
        <is>
          <t>扣 20、40、100</t>
        </is>
      </c>
      <c r="H22" s="12" t="inlineStr">
        <is>
          <t>通過</t>
        </is>
      </c>
      <c r="I22" s="12" t="n"/>
      <c r="J22" s="12" t="n"/>
      <c r="K22" s="12" t="n"/>
    </row>
    <row r="23">
      <c r="A23" s="6" t="inlineStr">
        <is>
          <t>TC-022</t>
        </is>
      </c>
      <c r="B23" s="11" t="inlineStr">
        <is>
          <t>押注與餘額</t>
        </is>
      </c>
      <c r="C23" s="11" t="inlineStr">
        <is>
          <t>贏分依線注等比放大</t>
        </is>
      </c>
      <c r="D23" s="11" t="inlineStr">
        <is>
          <t>每線押 2</t>
        </is>
      </c>
      <c r="E23" s="11" t="inlineStr">
        <is>
          <t>第 1 線：寶 寶 寶 J Q</t>
        </is>
      </c>
      <c r="F23" s="11" t="inlineStr">
        <is>
          <t>贏 100（50 × 2）</t>
        </is>
      </c>
      <c r="G23" s="12" t="inlineStr">
        <is>
          <t>贏 100</t>
        </is>
      </c>
      <c r="H23" s="12" t="inlineStr">
        <is>
          <t>通過</t>
        </is>
      </c>
      <c r="I23" s="12" t="n"/>
      <c r="J23" s="12" t="n"/>
      <c r="K23" s="12" t="n"/>
    </row>
    <row r="24">
      <c r="A24" s="6" t="inlineStr">
        <is>
          <t>TC-023</t>
        </is>
      </c>
      <c r="B24" s="11" t="inlineStr">
        <is>
          <t>押注與餘額</t>
        </is>
      </c>
      <c r="C24" s="11" t="inlineStr">
        <is>
          <t>餘額不足不可轉動</t>
        </is>
      </c>
      <c r="D24" s="11" t="inlineStr">
        <is>
          <t>餘額 15，總押注 20</t>
        </is>
      </c>
      <c r="E24" s="11" t="inlineStr">
        <is>
          <t>按轉動</t>
        </is>
      </c>
      <c r="F24" s="11" t="inlineStr">
        <is>
          <t>不可轉動，提示餘額不足</t>
        </is>
      </c>
      <c r="G24" s="12" t="inlineStr">
        <is>
          <t>提示餘額不足</t>
        </is>
      </c>
      <c r="H24" s="12" t="inlineStr">
        <is>
          <t>通過</t>
        </is>
      </c>
      <c r="I24" s="12" t="n"/>
      <c r="J24" s="12" t="n"/>
      <c r="K24" s="12" t="inlineStr">
        <is>
          <t>邊界值</t>
        </is>
      </c>
    </row>
    <row r="25">
      <c r="A25" s="6" t="inlineStr">
        <is>
          <t>TC-024</t>
        </is>
      </c>
      <c r="B25" s="11" t="inlineStr">
        <is>
          <t>押注與餘額</t>
        </is>
      </c>
      <c r="C25" s="11" t="inlineStr">
        <is>
          <t>餘額剛好等於押注</t>
        </is>
      </c>
      <c r="D25" s="11" t="inlineStr">
        <is>
          <t>餘額 20，總押注 20</t>
        </is>
      </c>
      <c r="E25" s="11" t="inlineStr">
        <is>
          <t>按轉動</t>
        </is>
      </c>
      <c r="F25" s="11" t="inlineStr">
        <is>
          <t>可轉動，轉後餘額 0（加贏分）</t>
        </is>
      </c>
      <c r="G25" s="12" t="inlineStr">
        <is>
          <t>符合</t>
        </is>
      </c>
      <c r="H25" s="12" t="inlineStr">
        <is>
          <t>通過</t>
        </is>
      </c>
      <c r="I25" s="12" t="n"/>
      <c r="J25" s="12" t="n"/>
      <c r="K25" s="12" t="inlineStr">
        <is>
          <t>邊界值</t>
        </is>
      </c>
    </row>
    <row r="26">
      <c r="A26" s="6" t="inlineStr">
        <is>
          <t>TC-025</t>
        </is>
      </c>
      <c r="B26" s="11" t="inlineStr">
        <is>
          <t>介面</t>
        </is>
      </c>
      <c r="C26" s="11" t="inlineStr">
        <is>
          <t>贏分線位置正確亮起</t>
        </is>
      </c>
      <c r="D26" s="11" t="inlineStr">
        <is>
          <t>任一中獎盤面</t>
        </is>
      </c>
      <c r="E26" s="11" t="inlineStr">
        <is>
          <t>比對亮起位置與中獎線</t>
        </is>
      </c>
      <c r="F26" s="11" t="inlineStr">
        <is>
          <t>位置一致</t>
        </is>
      </c>
      <c r="G26" s="12" t="inlineStr">
        <is>
          <t>一致</t>
        </is>
      </c>
      <c r="H26" s="12" t="inlineStr">
        <is>
          <t>通過</t>
        </is>
      </c>
      <c r="I26" s="12" t="n"/>
      <c r="J26" s="12" t="n"/>
      <c r="K26" s="12" t="inlineStr">
        <is>
          <t>抽查 10 次</t>
        </is>
      </c>
    </row>
    <row r="27">
      <c r="A27" s="6" t="inlineStr">
        <is>
          <t>TC-026</t>
        </is>
      </c>
      <c r="B27" s="11" t="inlineStr">
        <is>
          <t>介面</t>
        </is>
      </c>
      <c r="C27" s="11" t="inlineStr">
        <is>
          <t>餘額顯示千分位</t>
        </is>
      </c>
      <c r="D27" s="11" t="inlineStr">
        <is>
          <t>餘額 10,000</t>
        </is>
      </c>
      <c r="E27" s="11" t="inlineStr">
        <is>
          <t>查看餘額欄</t>
        </is>
      </c>
      <c r="F27" s="11" t="inlineStr">
        <is>
          <t>顯示 10,000</t>
        </is>
      </c>
      <c r="G27" s="12" t="inlineStr">
        <is>
          <t>顯示 10000</t>
        </is>
      </c>
      <c r="H27" s="12" t="inlineStr">
        <is>
          <t>不通過</t>
        </is>
      </c>
      <c r="I27" s="12" t="inlineStr">
        <is>
          <t>低</t>
        </is>
      </c>
      <c r="J27" s="12" t="inlineStr">
        <is>
          <t>BUG-02</t>
        </is>
      </c>
      <c r="K27" s="12" t="n"/>
    </row>
    <row r="28">
      <c r="A28" s="6" t="inlineStr">
        <is>
          <t>TC-027</t>
        </is>
      </c>
      <c r="B28" s="11" t="inlineStr">
        <is>
          <t>異常處理</t>
        </is>
      </c>
      <c r="C28" s="11" t="inlineStr">
        <is>
          <t>免費遊戲中斷線重連</t>
        </is>
      </c>
      <c r="D28" s="11" t="inlineStr">
        <is>
          <t>免費遊戲第 5 場</t>
        </is>
      </c>
      <c r="E28" s="11" t="inlineStr">
        <is>
          <t>中斷網路後重新連線</t>
        </is>
      </c>
      <c r="F28" s="11" t="inlineStr">
        <is>
          <t>回到第 5 場，累計贏分不變</t>
        </is>
      </c>
      <c r="G28" s="12" t="n"/>
      <c r="H28" s="12" t="inlineStr">
        <is>
          <t>阻擋</t>
        </is>
      </c>
      <c r="I28" s="12" t="n"/>
      <c r="J28" s="12" t="n"/>
      <c r="K28" s="12" t="inlineStr">
        <is>
          <t>測試環境無法模擬斷線，已請開發提供工具</t>
        </is>
      </c>
    </row>
    <row r="29">
      <c r="A29" s="6" t="inlineStr">
        <is>
          <t>TC-028</t>
        </is>
      </c>
      <c r="B29" s="11" t="inlineStr">
        <is>
          <t>異常處理</t>
        </is>
      </c>
      <c r="C29" s="11" t="inlineStr">
        <is>
          <t>快速連點轉動</t>
        </is>
      </c>
      <c r="D29" s="11" t="inlineStr">
        <is>
          <t>主遊戲</t>
        </is>
      </c>
      <c r="E29" s="11" t="inlineStr">
        <is>
          <t>1 秒內連點轉動 5 次</t>
        </is>
      </c>
      <c r="F29" s="11" t="inlineStr">
        <is>
          <t>只執行 1 次轉動</t>
        </is>
      </c>
      <c r="G29" s="12" t="inlineStr">
        <is>
          <t>只執行 1 次</t>
        </is>
      </c>
      <c r="H29" s="12" t="inlineStr">
        <is>
          <t>通過</t>
        </is>
      </c>
      <c r="I29" s="12" t="n"/>
      <c r="J29" s="12" t="n"/>
      <c r="K29" s="12" t="n"/>
    </row>
    <row r="30">
      <c r="A30" s="6" t="inlineStr">
        <is>
          <t>TC-029</t>
        </is>
      </c>
      <c r="B30" s="11" t="inlineStr">
        <is>
          <t>紀錄</t>
        </is>
      </c>
      <c r="C30" s="11" t="inlineStr">
        <is>
          <t>每轉寫入一筆紀錄</t>
        </is>
      </c>
      <c r="D30" s="11" t="inlineStr">
        <is>
          <t>轉動 100 次（含 1 次免費遊戲）</t>
        </is>
      </c>
      <c r="E30" s="11" t="inlineStr">
        <is>
          <t>以 SQL 查詢 spins 筆數與 win 欄位</t>
        </is>
      </c>
      <c r="F30" s="11" t="inlineStr">
        <is>
          <t>100 筆；win 含免費遊戲贏分</t>
        </is>
      </c>
      <c r="G30" s="12" t="inlineStr">
        <is>
          <t>符合</t>
        </is>
      </c>
      <c r="H30" s="12" t="inlineStr">
        <is>
          <t>通過</t>
        </is>
      </c>
      <c r="I30" s="12" t="n"/>
      <c r="J30" s="12" t="n"/>
      <c r="K30" s="12" t="inlineStr">
        <is>
          <t>見 queries.sql</t>
        </is>
      </c>
    </row>
    <row r="31">
      <c r="A31" s="6" t="inlineStr">
        <is>
          <t>TC-030</t>
        </is>
      </c>
      <c r="B31" s="11" t="inlineStr">
        <is>
          <t>數學驗收</t>
        </is>
      </c>
      <c r="C31" s="11" t="inlineStr">
        <is>
          <t>RTP 落在理論值 ±3 標準誤</t>
        </is>
      </c>
      <c r="D31" s="11" t="inlineStr">
        <is>
          <t>模擬 100 萬轉</t>
        </is>
      </c>
      <c r="E31" s="11" t="inlineStr">
        <is>
          <t>見「數學驗收」頁</t>
        </is>
      </c>
      <c r="F31" s="11" t="inlineStr">
        <is>
          <t>|z| ≤ 3</t>
        </is>
      </c>
      <c r="G31" s="12" t="inlineStr">
        <is>
          <t>見數學驗收頁</t>
        </is>
      </c>
      <c r="H31" s="13">
        <f>數學驗收!C16</f>
        <v/>
      </c>
      <c r="I31" s="12" t="n"/>
      <c r="J31" s="12" t="n"/>
      <c r="K31" s="12" t="inlineStr">
        <is>
          <t>結果欄依數學驗收頁判定</t>
        </is>
      </c>
    </row>
    <row r="32">
      <c r="A32" s="6" t="inlineStr">
        <is>
          <t>TC-031</t>
        </is>
      </c>
      <c r="B32" s="11" t="inlineStr">
        <is>
          <t>數學驗收</t>
        </is>
      </c>
      <c r="C32" s="11" t="inlineStr">
        <is>
          <t>免費遊戲觸發率與平均場次</t>
        </is>
      </c>
      <c r="D32" s="11" t="inlineStr">
        <is>
          <t>同上</t>
        </is>
      </c>
      <c r="E32" s="11" t="inlineStr">
        <is>
          <t>見「數學驗收」頁</t>
        </is>
      </c>
      <c r="F32" s="11" t="inlineStr">
        <is>
          <t>|z| ≤ 3、平均場次接近理論值</t>
        </is>
      </c>
      <c r="G32" s="12" t="inlineStr">
        <is>
          <t>見數學驗收頁</t>
        </is>
      </c>
      <c r="H32" s="13">
        <f>數學驗收!C20</f>
        <v/>
      </c>
      <c r="I32" s="12" t="n"/>
      <c r="J32" s="12" t="n"/>
      <c r="K32" s="12" t="n"/>
    </row>
    <row r="34">
      <c r="A34" s="2" t="inlineStr">
        <is>
          <t>黃底藍字為測試人員填寫欄位；「結果」「嚴重度」只能從下拉清單選擇。新增案例時接續在最後一列。</t>
        </is>
      </c>
    </row>
  </sheetData>
  <autoFilter ref="A1:K32"/>
  <conditionalFormatting sqref="H2:H200">
    <cfRule type="expression" priority="1" dxfId="0">
      <formula>$H2="通過"</formula>
    </cfRule>
    <cfRule type="expression" priority="2" dxfId="1">
      <formula>$H2="不通過"</formula>
    </cfRule>
    <cfRule type="expression" priority="3" dxfId="2">
      <formula>$H2="阻擋"</formula>
    </cfRule>
  </conditionalFormatting>
  <dataValidations count="2">
    <dataValidation sqref="H2:H30 H33:H200" showDropDown="0" showInputMessage="0" showErrorMessage="1" allowBlank="1" errorTitle="輸入錯誤" error="請從清單選擇：通過、不通過、阻擋、未執行" type="list">
      <formula1>"通過,不通過,阻擋,未執行"</formula1>
    </dataValidation>
    <dataValidation sqref="I2:I200" showDropDown="0" showInputMessage="0" showErrorMessage="1" allowBlank="1" errorTitle="輸入錯誤" error="請從清單選擇：高、中、低" type="list">
      <formula1>"高,中,低"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10" t="inlineStr">
        <is>
          <t>參數</t>
        </is>
      </c>
      <c r="B1" s="10" t="inlineStr">
        <is>
          <t>說明</t>
        </is>
      </c>
      <c r="C1" s="10" t="inlineStr">
        <is>
          <t>數值規格表</t>
        </is>
      </c>
      <c r="D1" s="10" t="inlineStr">
        <is>
          <t>v1.3 實際</t>
        </is>
      </c>
      <c r="E1" s="10" t="inlineStr">
        <is>
          <t>v1.3.1 實際</t>
        </is>
      </c>
      <c r="F1" s="10" t="inlineStr">
        <is>
          <t>v1.3 判定</t>
        </is>
      </c>
      <c r="G1" s="10" t="inlineStr">
        <is>
          <t>v1.3.1 判定</t>
        </is>
      </c>
    </row>
    <row r="2">
      <c r="A2" s="6" t="inlineStr">
        <is>
          <t>reel1_鯉</t>
        </is>
      </c>
      <c r="B2" s="6" t="inlineStr">
        <is>
          <t>第 1 軸「鯉」停點數</t>
        </is>
      </c>
      <c r="C2" s="14" t="n">
        <v>0</v>
      </c>
      <c r="D2" s="14" t="n">
        <v>0</v>
      </c>
      <c r="E2" s="14" t="n">
        <v>0</v>
      </c>
      <c r="F2" s="6">
        <f>IF(D2=C2,"一致","不一致")</f>
        <v/>
      </c>
      <c r="G2" s="6">
        <f>IF(E2=C2,"一致","不一致")</f>
        <v/>
      </c>
    </row>
    <row r="3">
      <c r="A3" s="6" t="inlineStr">
        <is>
          <t>reel2_鯉</t>
        </is>
      </c>
      <c r="B3" s="6" t="inlineStr">
        <is>
          <t>第 2 軸「鯉」停點數</t>
        </is>
      </c>
      <c r="C3" s="14" t="n">
        <v>2</v>
      </c>
      <c r="D3" s="14" t="n">
        <v>2</v>
      </c>
      <c r="E3" s="14" t="n">
        <v>2</v>
      </c>
      <c r="F3" s="6">
        <f>IF(D3=C3,"一致","不一致")</f>
        <v/>
      </c>
      <c r="G3" s="6">
        <f>IF(E3=C3,"一致","不一致")</f>
        <v/>
      </c>
    </row>
    <row r="4">
      <c r="A4" s="6" t="inlineStr">
        <is>
          <t>reel3_鯉</t>
        </is>
      </c>
      <c r="B4" s="6" t="inlineStr">
        <is>
          <t>第 3 軸「鯉」停點數</t>
        </is>
      </c>
      <c r="C4" s="14" t="n">
        <v>3</v>
      </c>
      <c r="D4" s="14" t="n">
        <v>3</v>
      </c>
      <c r="E4" s="14" t="n">
        <v>3</v>
      </c>
      <c r="F4" s="6">
        <f>IF(D4=C4,"一致","不一致")</f>
        <v/>
      </c>
      <c r="G4" s="6">
        <f>IF(E4=C4,"一致","不一致")</f>
        <v/>
      </c>
    </row>
    <row r="5">
      <c r="A5" s="6" t="inlineStr">
        <is>
          <t>reel4_鯉</t>
        </is>
      </c>
      <c r="B5" s="6" t="inlineStr">
        <is>
          <t>第 4 軸「鯉」停點數</t>
        </is>
      </c>
      <c r="C5" s="14" t="n">
        <v>3</v>
      </c>
      <c r="D5" s="14" t="n">
        <v>3</v>
      </c>
      <c r="E5" s="14" t="n">
        <v>3</v>
      </c>
      <c r="F5" s="6">
        <f>IF(D5=C5,"一致","不一致")</f>
        <v/>
      </c>
      <c r="G5" s="6">
        <f>IF(E5=C5,"一致","不一致")</f>
        <v/>
      </c>
    </row>
    <row r="6">
      <c r="A6" s="6" t="inlineStr">
        <is>
          <t>reel5_鯉</t>
        </is>
      </c>
      <c r="B6" s="6" t="inlineStr">
        <is>
          <t>第 5 軸「鯉」停點數</t>
        </is>
      </c>
      <c r="C6" s="14" t="n">
        <v>2</v>
      </c>
      <c r="D6" s="14" t="n">
        <v>2</v>
      </c>
      <c r="E6" s="14" t="n">
        <v>2</v>
      </c>
      <c r="F6" s="6">
        <f>IF(D6=C6,"一致","不一致")</f>
        <v/>
      </c>
      <c r="G6" s="6">
        <f>IF(E6=C6,"一致","不一致")</f>
        <v/>
      </c>
    </row>
    <row r="7">
      <c r="A7" s="6" t="inlineStr">
        <is>
          <t>reel1_門</t>
        </is>
      </c>
      <c r="B7" s="6" t="inlineStr">
        <is>
          <t>第 1 軸「門」停點數</t>
        </is>
      </c>
      <c r="C7" s="14" t="n">
        <v>1</v>
      </c>
      <c r="D7" s="14" t="n">
        <v>1</v>
      </c>
      <c r="E7" s="14" t="n">
        <v>1</v>
      </c>
      <c r="F7" s="6">
        <f>IF(D7=C7,"一致","不一致")</f>
        <v/>
      </c>
      <c r="G7" s="6">
        <f>IF(E7=C7,"一致","不一致")</f>
        <v/>
      </c>
    </row>
    <row r="8">
      <c r="A8" s="6" t="inlineStr">
        <is>
          <t>reel2_門</t>
        </is>
      </c>
      <c r="B8" s="6" t="inlineStr">
        <is>
          <t>第 2 軸「門」停點數</t>
        </is>
      </c>
      <c r="C8" s="14" t="n">
        <v>2</v>
      </c>
      <c r="D8" s="14" t="n">
        <v>2</v>
      </c>
      <c r="E8" s="14" t="n">
        <v>2</v>
      </c>
      <c r="F8" s="6">
        <f>IF(D8=C8,"一致","不一致")</f>
        <v/>
      </c>
      <c r="G8" s="6">
        <f>IF(E8=C8,"一致","不一致")</f>
        <v/>
      </c>
    </row>
    <row r="9">
      <c r="A9" s="6" t="inlineStr">
        <is>
          <t>reel3_門</t>
        </is>
      </c>
      <c r="B9" s="6" t="inlineStr">
        <is>
          <t>第 3 軸「門」停點數</t>
        </is>
      </c>
      <c r="C9" s="14" t="n">
        <v>2</v>
      </c>
      <c r="D9" s="14" t="n">
        <v>2</v>
      </c>
      <c r="E9" s="14" t="n">
        <v>2</v>
      </c>
      <c r="F9" s="6">
        <f>IF(D9=C9,"一致","不一致")</f>
        <v/>
      </c>
      <c r="G9" s="6">
        <f>IF(E9=C9,"一致","不一致")</f>
        <v/>
      </c>
    </row>
    <row r="10">
      <c r="A10" s="6" t="inlineStr">
        <is>
          <t>reel4_門</t>
        </is>
      </c>
      <c r="B10" s="6" t="inlineStr">
        <is>
          <t>第 4 軸「門」停點數</t>
        </is>
      </c>
      <c r="C10" s="14" t="n">
        <v>2</v>
      </c>
      <c r="D10" s="14" t="n">
        <v>2</v>
      </c>
      <c r="E10" s="14" t="n">
        <v>2</v>
      </c>
      <c r="F10" s="6">
        <f>IF(D10=C10,"一致","不一致")</f>
        <v/>
      </c>
      <c r="G10" s="6">
        <f>IF(E10=C10,"一致","不一致")</f>
        <v/>
      </c>
    </row>
    <row r="11">
      <c r="A11" s="6" t="inlineStr">
        <is>
          <t>reel5_門</t>
        </is>
      </c>
      <c r="B11" s="6" t="inlineStr">
        <is>
          <t>第 5 軸「門」停點數</t>
        </is>
      </c>
      <c r="C11" s="14" t="n">
        <v>1</v>
      </c>
      <c r="D11" s="14" t="n">
        <v>1</v>
      </c>
      <c r="E11" s="14" t="n">
        <v>1</v>
      </c>
      <c r="F11" s="6">
        <f>IF(D11=C11,"一致","不一致")</f>
        <v/>
      </c>
      <c r="G11" s="6">
        <f>IF(E11=C11,"一致","不一致")</f>
        <v/>
      </c>
    </row>
    <row r="12">
      <c r="A12" s="6" t="inlineStr">
        <is>
          <t>reel1_寶</t>
        </is>
      </c>
      <c r="B12" s="6" t="inlineStr">
        <is>
          <t>第 1 軸「寶」停點數</t>
        </is>
      </c>
      <c r="C12" s="14" t="n">
        <v>2</v>
      </c>
      <c r="D12" s="14" t="n">
        <v>2</v>
      </c>
      <c r="E12" s="14" t="n">
        <v>2</v>
      </c>
      <c r="F12" s="6">
        <f>IF(D12=C12,"一致","不一致")</f>
        <v/>
      </c>
      <c r="G12" s="6">
        <f>IF(E12=C12,"一致","不一致")</f>
        <v/>
      </c>
    </row>
    <row r="13">
      <c r="A13" s="6" t="inlineStr">
        <is>
          <t>reel2_寶</t>
        </is>
      </c>
      <c r="B13" s="6" t="inlineStr">
        <is>
          <t>第 2 軸「寶」停點數</t>
        </is>
      </c>
      <c r="C13" s="14" t="n">
        <v>2</v>
      </c>
      <c r="D13" s="14" t="n">
        <v>2</v>
      </c>
      <c r="E13" s="14" t="n">
        <v>2</v>
      </c>
      <c r="F13" s="6">
        <f>IF(D13=C13,"一致","不一致")</f>
        <v/>
      </c>
      <c r="G13" s="6">
        <f>IF(E13=C13,"一致","不一致")</f>
        <v/>
      </c>
    </row>
    <row r="14">
      <c r="A14" s="6" t="inlineStr">
        <is>
          <t>reel3_寶</t>
        </is>
      </c>
      <c r="B14" s="6" t="inlineStr">
        <is>
          <t>第 3 軸「寶」停點數</t>
        </is>
      </c>
      <c r="C14" s="14" t="n">
        <v>2</v>
      </c>
      <c r="D14" s="14" t="n">
        <v>2</v>
      </c>
      <c r="E14" s="14" t="n">
        <v>2</v>
      </c>
      <c r="F14" s="6">
        <f>IF(D14=C14,"一致","不一致")</f>
        <v/>
      </c>
      <c r="G14" s="6">
        <f>IF(E14=C14,"一致","不一致")</f>
        <v/>
      </c>
    </row>
    <row r="15">
      <c r="A15" s="6" t="inlineStr">
        <is>
          <t>reel4_寶</t>
        </is>
      </c>
      <c r="B15" s="6" t="inlineStr">
        <is>
          <t>第 4 軸「寶」停點數</t>
        </is>
      </c>
      <c r="C15" s="14" t="n">
        <v>2</v>
      </c>
      <c r="D15" s="14" t="n">
        <v>2</v>
      </c>
      <c r="E15" s="14" t="n">
        <v>2</v>
      </c>
      <c r="F15" s="6">
        <f>IF(D15=C15,"一致","不一致")</f>
        <v/>
      </c>
      <c r="G15" s="6">
        <f>IF(E15=C15,"一致","不一致")</f>
        <v/>
      </c>
    </row>
    <row r="16">
      <c r="A16" s="6" t="inlineStr">
        <is>
          <t>reel5_寶</t>
        </is>
      </c>
      <c r="B16" s="6" t="inlineStr">
        <is>
          <t>第 5 軸「寶」停點數</t>
        </is>
      </c>
      <c r="C16" s="14" t="n">
        <v>2</v>
      </c>
      <c r="D16" s="14" t="n">
        <v>2</v>
      </c>
      <c r="E16" s="14" t="n">
        <v>2</v>
      </c>
      <c r="F16" s="6">
        <f>IF(D16=C16,"一致","不一致")</f>
        <v/>
      </c>
      <c r="G16" s="6">
        <f>IF(E16=C16,"一致","不一致")</f>
        <v/>
      </c>
    </row>
    <row r="17">
      <c r="A17" s="6" t="inlineStr">
        <is>
          <t>reel1_意</t>
        </is>
      </c>
      <c r="B17" s="6" t="inlineStr">
        <is>
          <t>第 1 軸「意」停點數</t>
        </is>
      </c>
      <c r="C17" s="14" t="n">
        <v>3</v>
      </c>
      <c r="D17" s="14" t="n">
        <v>3</v>
      </c>
      <c r="E17" s="14" t="n">
        <v>3</v>
      </c>
      <c r="F17" s="6">
        <f>IF(D17=C17,"一致","不一致")</f>
        <v/>
      </c>
      <c r="G17" s="6">
        <f>IF(E17=C17,"一致","不一致")</f>
        <v/>
      </c>
    </row>
    <row r="18">
      <c r="A18" s="6" t="inlineStr">
        <is>
          <t>reel2_意</t>
        </is>
      </c>
      <c r="B18" s="6" t="inlineStr">
        <is>
          <t>第 2 軸「意」停點數</t>
        </is>
      </c>
      <c r="C18" s="14" t="n">
        <v>3</v>
      </c>
      <c r="D18" s="14" t="n">
        <v>3</v>
      </c>
      <c r="E18" s="14" t="n">
        <v>3</v>
      </c>
      <c r="F18" s="6">
        <f>IF(D18=C18,"一致","不一致")</f>
        <v/>
      </c>
      <c r="G18" s="6">
        <f>IF(E18=C18,"一致","不一致")</f>
        <v/>
      </c>
    </row>
    <row r="19">
      <c r="A19" s="6" t="inlineStr">
        <is>
          <t>reel3_意</t>
        </is>
      </c>
      <c r="B19" s="6" t="inlineStr">
        <is>
          <t>第 3 軸「意」停點數</t>
        </is>
      </c>
      <c r="C19" s="14" t="n">
        <v>3</v>
      </c>
      <c r="D19" s="14" t="n">
        <v>3</v>
      </c>
      <c r="E19" s="14" t="n">
        <v>3</v>
      </c>
      <c r="F19" s="6">
        <f>IF(D19=C19,"一致","不一致")</f>
        <v/>
      </c>
      <c r="G19" s="6">
        <f>IF(E19=C19,"一致","不一致")</f>
        <v/>
      </c>
    </row>
    <row r="20">
      <c r="A20" s="6" t="inlineStr">
        <is>
          <t>reel4_意</t>
        </is>
      </c>
      <c r="B20" s="6" t="inlineStr">
        <is>
          <t>第 4 軸「意」停點數</t>
        </is>
      </c>
      <c r="C20" s="14" t="n">
        <v>3</v>
      </c>
      <c r="D20" s="14" t="n">
        <v>3</v>
      </c>
      <c r="E20" s="14" t="n">
        <v>3</v>
      </c>
      <c r="F20" s="6">
        <f>IF(D20=C20,"一致","不一致")</f>
        <v/>
      </c>
      <c r="G20" s="6">
        <f>IF(E20=C20,"一致","不一致")</f>
        <v/>
      </c>
    </row>
    <row r="21">
      <c r="A21" s="6" t="inlineStr">
        <is>
          <t>reel5_意</t>
        </is>
      </c>
      <c r="B21" s="6" t="inlineStr">
        <is>
          <t>第 5 軸「意」停點數</t>
        </is>
      </c>
      <c r="C21" s="14" t="n">
        <v>3</v>
      </c>
      <c r="D21" s="14" t="n">
        <v>3</v>
      </c>
      <c r="E21" s="14" t="n">
        <v>3</v>
      </c>
      <c r="F21" s="6">
        <f>IF(D21=C21,"一致","不一致")</f>
        <v/>
      </c>
      <c r="G21" s="6">
        <f>IF(E21=C21,"一致","不一致")</f>
        <v/>
      </c>
    </row>
    <row r="22">
      <c r="A22" s="6" t="inlineStr">
        <is>
          <t>reel1_燈</t>
        </is>
      </c>
      <c r="B22" s="6" t="inlineStr">
        <is>
          <t>第 1 軸「燈」停點數</t>
        </is>
      </c>
      <c r="C22" s="14" t="n">
        <v>4</v>
      </c>
      <c r="D22" s="14" t="n">
        <v>4</v>
      </c>
      <c r="E22" s="14" t="n">
        <v>4</v>
      </c>
      <c r="F22" s="6">
        <f>IF(D22=C22,"一致","不一致")</f>
        <v/>
      </c>
      <c r="G22" s="6">
        <f>IF(E22=C22,"一致","不一致")</f>
        <v/>
      </c>
    </row>
    <row r="23">
      <c r="A23" s="6" t="inlineStr">
        <is>
          <t>reel2_燈</t>
        </is>
      </c>
      <c r="B23" s="6" t="inlineStr">
        <is>
          <t>第 2 軸「燈」停點數</t>
        </is>
      </c>
      <c r="C23" s="14" t="n">
        <v>4</v>
      </c>
      <c r="D23" s="14" t="n">
        <v>4</v>
      </c>
      <c r="E23" s="14" t="n">
        <v>4</v>
      </c>
      <c r="F23" s="6">
        <f>IF(D23=C23,"一致","不一致")</f>
        <v/>
      </c>
      <c r="G23" s="6">
        <f>IF(E23=C23,"一致","不一致")</f>
        <v/>
      </c>
    </row>
    <row r="24">
      <c r="A24" s="6" t="inlineStr">
        <is>
          <t>reel3_燈</t>
        </is>
      </c>
      <c r="B24" s="6" t="inlineStr">
        <is>
          <t>第 3 軸「燈」停點數</t>
        </is>
      </c>
      <c r="C24" s="14" t="n">
        <v>4</v>
      </c>
      <c r="D24" s="14" t="n">
        <v>4</v>
      </c>
      <c r="E24" s="14" t="n">
        <v>4</v>
      </c>
      <c r="F24" s="6">
        <f>IF(D24=C24,"一致","不一致")</f>
        <v/>
      </c>
      <c r="G24" s="6">
        <f>IF(E24=C24,"一致","不一致")</f>
        <v/>
      </c>
    </row>
    <row r="25">
      <c r="A25" s="6" t="inlineStr">
        <is>
          <t>reel4_燈</t>
        </is>
      </c>
      <c r="B25" s="6" t="inlineStr">
        <is>
          <t>第 4 軸「燈」停點數</t>
        </is>
      </c>
      <c r="C25" s="14" t="n">
        <v>4</v>
      </c>
      <c r="D25" s="14" t="n">
        <v>4</v>
      </c>
      <c r="E25" s="14" t="n">
        <v>4</v>
      </c>
      <c r="F25" s="6">
        <f>IF(D25=C25,"一致","不一致")</f>
        <v/>
      </c>
      <c r="G25" s="6">
        <f>IF(E25=C25,"一致","不一致")</f>
        <v/>
      </c>
    </row>
    <row r="26">
      <c r="A26" s="6" t="inlineStr">
        <is>
          <t>reel5_燈</t>
        </is>
      </c>
      <c r="B26" s="6" t="inlineStr">
        <is>
          <t>第 5 軸「燈」停點數</t>
        </is>
      </c>
      <c r="C26" s="14" t="n">
        <v>4</v>
      </c>
      <c r="D26" s="14" t="n">
        <v>4</v>
      </c>
      <c r="E26" s="14" t="n">
        <v>4</v>
      </c>
      <c r="F26" s="6">
        <f>IF(D26=C26,"一致","不一致")</f>
        <v/>
      </c>
      <c r="G26" s="6">
        <f>IF(E26=C26,"一致","不一致")</f>
        <v/>
      </c>
    </row>
    <row r="27">
      <c r="A27" s="6" t="inlineStr">
        <is>
          <t>reel1_錢</t>
        </is>
      </c>
      <c r="B27" s="6" t="inlineStr">
        <is>
          <t>第 1 軸「錢」停點數</t>
        </is>
      </c>
      <c r="C27" s="14" t="n">
        <v>4</v>
      </c>
      <c r="D27" s="14" t="n">
        <v>4</v>
      </c>
      <c r="E27" s="14" t="n">
        <v>4</v>
      </c>
      <c r="F27" s="6">
        <f>IF(D27=C27,"一致","不一致")</f>
        <v/>
      </c>
      <c r="G27" s="6">
        <f>IF(E27=C27,"一致","不一致")</f>
        <v/>
      </c>
    </row>
    <row r="28">
      <c r="A28" s="6" t="inlineStr">
        <is>
          <t>reel2_錢</t>
        </is>
      </c>
      <c r="B28" s="6" t="inlineStr">
        <is>
          <t>第 2 軸「錢」停點數</t>
        </is>
      </c>
      <c r="C28" s="14" t="n">
        <v>4</v>
      </c>
      <c r="D28" s="14" t="n">
        <v>4</v>
      </c>
      <c r="E28" s="14" t="n">
        <v>4</v>
      </c>
      <c r="F28" s="6">
        <f>IF(D28=C28,"一致","不一致")</f>
        <v/>
      </c>
      <c r="G28" s="6">
        <f>IF(E28=C28,"一致","不一致")</f>
        <v/>
      </c>
    </row>
    <row r="29">
      <c r="A29" s="6" t="inlineStr">
        <is>
          <t>reel3_錢</t>
        </is>
      </c>
      <c r="B29" s="6" t="inlineStr">
        <is>
          <t>第 3 軸「錢」停點數</t>
        </is>
      </c>
      <c r="C29" s="14" t="n">
        <v>4</v>
      </c>
      <c r="D29" s="14" t="n">
        <v>4</v>
      </c>
      <c r="E29" s="14" t="n">
        <v>4</v>
      </c>
      <c r="F29" s="6">
        <f>IF(D29=C29,"一致","不一致")</f>
        <v/>
      </c>
      <c r="G29" s="6">
        <f>IF(E29=C29,"一致","不一致")</f>
        <v/>
      </c>
    </row>
    <row r="30">
      <c r="A30" s="6" t="inlineStr">
        <is>
          <t>reel4_錢</t>
        </is>
      </c>
      <c r="B30" s="6" t="inlineStr">
        <is>
          <t>第 4 軸「錢」停點數</t>
        </is>
      </c>
      <c r="C30" s="14" t="n">
        <v>4</v>
      </c>
      <c r="D30" s="14" t="n">
        <v>4</v>
      </c>
      <c r="E30" s="14" t="n">
        <v>4</v>
      </c>
      <c r="F30" s="6">
        <f>IF(D30=C30,"一致","不一致")</f>
        <v/>
      </c>
      <c r="G30" s="6">
        <f>IF(E30=C30,"一致","不一致")</f>
        <v/>
      </c>
    </row>
    <row r="31">
      <c r="A31" s="6" t="inlineStr">
        <is>
          <t>reel5_錢</t>
        </is>
      </c>
      <c r="B31" s="6" t="inlineStr">
        <is>
          <t>第 5 軸「錢」停點數</t>
        </is>
      </c>
      <c r="C31" s="14" t="n">
        <v>4</v>
      </c>
      <c r="D31" s="14" t="n">
        <v>4</v>
      </c>
      <c r="E31" s="14" t="n">
        <v>4</v>
      </c>
      <c r="F31" s="6">
        <f>IF(D31=C31,"一致","不一致")</f>
        <v/>
      </c>
      <c r="G31" s="6">
        <f>IF(E31=C31,"一致","不一致")</f>
        <v/>
      </c>
    </row>
    <row r="32">
      <c r="A32" s="6" t="inlineStr">
        <is>
          <t>reel1_A</t>
        </is>
      </c>
      <c r="B32" s="6" t="inlineStr">
        <is>
          <t>第 1 軸「A」停點數</t>
        </is>
      </c>
      <c r="C32" s="14" t="n">
        <v>5</v>
      </c>
      <c r="D32" s="14" t="n">
        <v>5</v>
      </c>
      <c r="E32" s="14" t="n">
        <v>5</v>
      </c>
      <c r="F32" s="6">
        <f>IF(D32=C32,"一致","不一致")</f>
        <v/>
      </c>
      <c r="G32" s="6">
        <f>IF(E32=C32,"一致","不一致")</f>
        <v/>
      </c>
    </row>
    <row r="33">
      <c r="A33" s="6" t="inlineStr">
        <is>
          <t>reel2_A</t>
        </is>
      </c>
      <c r="B33" s="6" t="inlineStr">
        <is>
          <t>第 2 軸「A」停點數</t>
        </is>
      </c>
      <c r="C33" s="14" t="n">
        <v>5</v>
      </c>
      <c r="D33" s="14" t="n">
        <v>5</v>
      </c>
      <c r="E33" s="14" t="n">
        <v>5</v>
      </c>
      <c r="F33" s="6">
        <f>IF(D33=C33,"一致","不一致")</f>
        <v/>
      </c>
      <c r="G33" s="6">
        <f>IF(E33=C33,"一致","不一致")</f>
        <v/>
      </c>
    </row>
    <row r="34">
      <c r="A34" s="6" t="inlineStr">
        <is>
          <t>reel3_A</t>
        </is>
      </c>
      <c r="B34" s="6" t="inlineStr">
        <is>
          <t>第 3 軸「A」停點數</t>
        </is>
      </c>
      <c r="C34" s="14" t="n">
        <v>5</v>
      </c>
      <c r="D34" s="14" t="n">
        <v>5</v>
      </c>
      <c r="E34" s="14" t="n">
        <v>5</v>
      </c>
      <c r="F34" s="6">
        <f>IF(D34=C34,"一致","不一致")</f>
        <v/>
      </c>
      <c r="G34" s="6">
        <f>IF(E34=C34,"一致","不一致")</f>
        <v/>
      </c>
    </row>
    <row r="35">
      <c r="A35" s="6" t="inlineStr">
        <is>
          <t>reel4_A</t>
        </is>
      </c>
      <c r="B35" s="6" t="inlineStr">
        <is>
          <t>第 4 軸「A」停點數</t>
        </is>
      </c>
      <c r="C35" s="14" t="n">
        <v>5</v>
      </c>
      <c r="D35" s="14" t="n">
        <v>5</v>
      </c>
      <c r="E35" s="14" t="n">
        <v>5</v>
      </c>
      <c r="F35" s="6">
        <f>IF(D35=C35,"一致","不一致")</f>
        <v/>
      </c>
      <c r="G35" s="6">
        <f>IF(E35=C35,"一致","不一致")</f>
        <v/>
      </c>
    </row>
    <row r="36">
      <c r="A36" s="6" t="inlineStr">
        <is>
          <t>reel5_A</t>
        </is>
      </c>
      <c r="B36" s="6" t="inlineStr">
        <is>
          <t>第 5 軸「A」停點數</t>
        </is>
      </c>
      <c r="C36" s="14" t="n">
        <v>5</v>
      </c>
      <c r="D36" s="14" t="n">
        <v>5</v>
      </c>
      <c r="E36" s="14" t="n">
        <v>5</v>
      </c>
      <c r="F36" s="6">
        <f>IF(D36=C36,"一致","不一致")</f>
        <v/>
      </c>
      <c r="G36" s="6">
        <f>IF(E36=C36,"一致","不一致")</f>
        <v/>
      </c>
    </row>
    <row r="37">
      <c r="A37" s="6" t="inlineStr">
        <is>
          <t>reel1_K</t>
        </is>
      </c>
      <c r="B37" s="6" t="inlineStr">
        <is>
          <t>第 1 軸「K」停點數</t>
        </is>
      </c>
      <c r="C37" s="14" t="n">
        <v>5</v>
      </c>
      <c r="D37" s="14" t="n">
        <v>5</v>
      </c>
      <c r="E37" s="14" t="n">
        <v>5</v>
      </c>
      <c r="F37" s="6">
        <f>IF(D37=C37,"一致","不一致")</f>
        <v/>
      </c>
      <c r="G37" s="6">
        <f>IF(E37=C37,"一致","不一致")</f>
        <v/>
      </c>
    </row>
    <row r="38">
      <c r="A38" s="6" t="inlineStr">
        <is>
          <t>reel2_K</t>
        </is>
      </c>
      <c r="B38" s="6" t="inlineStr">
        <is>
          <t>第 2 軸「K」停點數</t>
        </is>
      </c>
      <c r="C38" s="14" t="n">
        <v>5</v>
      </c>
      <c r="D38" s="14" t="n">
        <v>5</v>
      </c>
      <c r="E38" s="14" t="n">
        <v>5</v>
      </c>
      <c r="F38" s="6">
        <f>IF(D38=C38,"一致","不一致")</f>
        <v/>
      </c>
      <c r="G38" s="6">
        <f>IF(E38=C38,"一致","不一致")</f>
        <v/>
      </c>
    </row>
    <row r="39">
      <c r="A39" s="6" t="inlineStr">
        <is>
          <t>reel3_K</t>
        </is>
      </c>
      <c r="B39" s="6" t="inlineStr">
        <is>
          <t>第 3 軸「K」停點數</t>
        </is>
      </c>
      <c r="C39" s="14" t="n">
        <v>5</v>
      </c>
      <c r="D39" s="14" t="n">
        <v>5</v>
      </c>
      <c r="E39" s="14" t="n">
        <v>5</v>
      </c>
      <c r="F39" s="6">
        <f>IF(D39=C39,"一致","不一致")</f>
        <v/>
      </c>
      <c r="G39" s="6">
        <f>IF(E39=C39,"一致","不一致")</f>
        <v/>
      </c>
    </row>
    <row r="40">
      <c r="A40" s="6" t="inlineStr">
        <is>
          <t>reel4_K</t>
        </is>
      </c>
      <c r="B40" s="6" t="inlineStr">
        <is>
          <t>第 4 軸「K」停點數</t>
        </is>
      </c>
      <c r="C40" s="14" t="n">
        <v>5</v>
      </c>
      <c r="D40" s="14" t="n">
        <v>5</v>
      </c>
      <c r="E40" s="14" t="n">
        <v>5</v>
      </c>
      <c r="F40" s="6">
        <f>IF(D40=C40,"一致","不一致")</f>
        <v/>
      </c>
      <c r="G40" s="6">
        <f>IF(E40=C40,"一致","不一致")</f>
        <v/>
      </c>
    </row>
    <row r="41">
      <c r="A41" s="6" t="inlineStr">
        <is>
          <t>reel5_K</t>
        </is>
      </c>
      <c r="B41" s="6" t="inlineStr">
        <is>
          <t>第 5 軸「K」停點數</t>
        </is>
      </c>
      <c r="C41" s="14" t="n">
        <v>5</v>
      </c>
      <c r="D41" s="14" t="n">
        <v>5</v>
      </c>
      <c r="E41" s="14" t="n">
        <v>5</v>
      </c>
      <c r="F41" s="6">
        <f>IF(D41=C41,"一致","不一致")</f>
        <v/>
      </c>
      <c r="G41" s="6">
        <f>IF(E41=C41,"一致","不一致")</f>
        <v/>
      </c>
    </row>
    <row r="42">
      <c r="A42" s="6" t="inlineStr">
        <is>
          <t>reel1_Q</t>
        </is>
      </c>
      <c r="B42" s="6" t="inlineStr">
        <is>
          <t>第 1 軸「Q」停點數</t>
        </is>
      </c>
      <c r="C42" s="14" t="n">
        <v>6</v>
      </c>
      <c r="D42" s="14" t="n">
        <v>6</v>
      </c>
      <c r="E42" s="14" t="n">
        <v>6</v>
      </c>
      <c r="F42" s="6">
        <f>IF(D42=C42,"一致","不一致")</f>
        <v/>
      </c>
      <c r="G42" s="6">
        <f>IF(E42=C42,"一致","不一致")</f>
        <v/>
      </c>
    </row>
    <row r="43">
      <c r="A43" s="6" t="inlineStr">
        <is>
          <t>reel2_Q</t>
        </is>
      </c>
      <c r="B43" s="6" t="inlineStr">
        <is>
          <t>第 2 軸「Q」停點數</t>
        </is>
      </c>
      <c r="C43" s="14" t="n">
        <v>6</v>
      </c>
      <c r="D43" s="14" t="n">
        <v>6</v>
      </c>
      <c r="E43" s="14" t="n">
        <v>6</v>
      </c>
      <c r="F43" s="6">
        <f>IF(D43=C43,"一致","不一致")</f>
        <v/>
      </c>
      <c r="G43" s="6">
        <f>IF(E43=C43,"一致","不一致")</f>
        <v/>
      </c>
    </row>
    <row r="44">
      <c r="A44" s="6" t="inlineStr">
        <is>
          <t>reel3_Q</t>
        </is>
      </c>
      <c r="B44" s="6" t="inlineStr">
        <is>
          <t>第 3 軸「Q」停點數</t>
        </is>
      </c>
      <c r="C44" s="14" t="n">
        <v>6</v>
      </c>
      <c r="D44" s="14" t="n">
        <v>6</v>
      </c>
      <c r="E44" s="14" t="n">
        <v>6</v>
      </c>
      <c r="F44" s="6">
        <f>IF(D44=C44,"一致","不一致")</f>
        <v/>
      </c>
      <c r="G44" s="6">
        <f>IF(E44=C44,"一致","不一致")</f>
        <v/>
      </c>
    </row>
    <row r="45">
      <c r="A45" s="6" t="inlineStr">
        <is>
          <t>reel4_Q</t>
        </is>
      </c>
      <c r="B45" s="6" t="inlineStr">
        <is>
          <t>第 4 軸「Q」停點數</t>
        </is>
      </c>
      <c r="C45" s="14" t="n">
        <v>6</v>
      </c>
      <c r="D45" s="14" t="n">
        <v>6</v>
      </c>
      <c r="E45" s="14" t="n">
        <v>6</v>
      </c>
      <c r="F45" s="6">
        <f>IF(D45=C45,"一致","不一致")</f>
        <v/>
      </c>
      <c r="G45" s="6">
        <f>IF(E45=C45,"一致","不一致")</f>
        <v/>
      </c>
    </row>
    <row r="46">
      <c r="A46" s="6" t="inlineStr">
        <is>
          <t>reel5_Q</t>
        </is>
      </c>
      <c r="B46" s="6" t="inlineStr">
        <is>
          <t>第 5 軸「Q」停點數</t>
        </is>
      </c>
      <c r="C46" s="14" t="n">
        <v>6</v>
      </c>
      <c r="D46" s="14" t="n">
        <v>6</v>
      </c>
      <c r="E46" s="14" t="n">
        <v>6</v>
      </c>
      <c r="F46" s="6">
        <f>IF(D46=C46,"一致","不一致")</f>
        <v/>
      </c>
      <c r="G46" s="6">
        <f>IF(E46=C46,"一致","不一致")</f>
        <v/>
      </c>
    </row>
    <row r="47">
      <c r="A47" s="6" t="inlineStr">
        <is>
          <t>reel1_J</t>
        </is>
      </c>
      <c r="B47" s="6" t="inlineStr">
        <is>
          <t>第 1 軸「J」停點數</t>
        </is>
      </c>
      <c r="C47" s="14" t="n">
        <v>6</v>
      </c>
      <c r="D47" s="14" t="n">
        <v>6</v>
      </c>
      <c r="E47" s="14" t="n">
        <v>6</v>
      </c>
      <c r="F47" s="6">
        <f>IF(D47=C47,"一致","不一致")</f>
        <v/>
      </c>
      <c r="G47" s="6">
        <f>IF(E47=C47,"一致","不一致")</f>
        <v/>
      </c>
    </row>
    <row r="48">
      <c r="A48" s="6" t="inlineStr">
        <is>
          <t>reel2_J</t>
        </is>
      </c>
      <c r="B48" s="6" t="inlineStr">
        <is>
          <t>第 2 軸「J」停點數</t>
        </is>
      </c>
      <c r="C48" s="14" t="n">
        <v>6</v>
      </c>
      <c r="D48" s="14" t="n">
        <v>6</v>
      </c>
      <c r="E48" s="14" t="n">
        <v>6</v>
      </c>
      <c r="F48" s="6">
        <f>IF(D48=C48,"一致","不一致")</f>
        <v/>
      </c>
      <c r="G48" s="6">
        <f>IF(E48=C48,"一致","不一致")</f>
        <v/>
      </c>
    </row>
    <row r="49">
      <c r="A49" s="6" t="inlineStr">
        <is>
          <t>reel3_J</t>
        </is>
      </c>
      <c r="B49" s="6" t="inlineStr">
        <is>
          <t>第 3 軸「J」停點數</t>
        </is>
      </c>
      <c r="C49" s="14" t="n">
        <v>6</v>
      </c>
      <c r="D49" s="14" t="n">
        <v>6</v>
      </c>
      <c r="E49" s="14" t="n">
        <v>6</v>
      </c>
      <c r="F49" s="6">
        <f>IF(D49=C49,"一致","不一致")</f>
        <v/>
      </c>
      <c r="G49" s="6">
        <f>IF(E49=C49,"一致","不一致")</f>
        <v/>
      </c>
    </row>
    <row r="50">
      <c r="A50" s="6" t="inlineStr">
        <is>
          <t>reel4_J</t>
        </is>
      </c>
      <c r="B50" s="6" t="inlineStr">
        <is>
          <t>第 4 軸「J」停點數</t>
        </is>
      </c>
      <c r="C50" s="14" t="n">
        <v>6</v>
      </c>
      <c r="D50" s="14" t="n">
        <v>6</v>
      </c>
      <c r="E50" s="14" t="n">
        <v>6</v>
      </c>
      <c r="F50" s="6">
        <f>IF(D50=C50,"一致","不一致")</f>
        <v/>
      </c>
      <c r="G50" s="6">
        <f>IF(E50=C50,"一致","不一致")</f>
        <v/>
      </c>
    </row>
    <row r="51">
      <c r="A51" s="6" t="inlineStr">
        <is>
          <t>reel5_J</t>
        </is>
      </c>
      <c r="B51" s="6" t="inlineStr">
        <is>
          <t>第 5 軸「J」停點數</t>
        </is>
      </c>
      <c r="C51" s="14" t="n">
        <v>6</v>
      </c>
      <c r="D51" s="14" t="n">
        <v>6</v>
      </c>
      <c r="E51" s="14" t="n">
        <v>6</v>
      </c>
      <c r="F51" s="6">
        <f>IF(D51=C51,"一致","不一致")</f>
        <v/>
      </c>
      <c r="G51" s="6">
        <f>IF(E51=C51,"一致","不一致")</f>
        <v/>
      </c>
    </row>
    <row r="52">
      <c r="A52" s="6" t="inlineStr">
        <is>
          <t>pay_鯉_3</t>
        </is>
      </c>
      <c r="B52" s="6" t="inlineStr">
        <is>
          <t>「鯉」3 連賠率（× 線注）</t>
        </is>
      </c>
      <c r="C52" s="14" t="n">
        <v>60</v>
      </c>
      <c r="D52" s="14" t="n">
        <v>60</v>
      </c>
      <c r="E52" s="14" t="n">
        <v>60</v>
      </c>
      <c r="F52" s="6">
        <f>IF(D52=C52,"一致","不一致")</f>
        <v/>
      </c>
      <c r="G52" s="6">
        <f>IF(E52=C52,"一致","不一致")</f>
        <v/>
      </c>
    </row>
    <row r="53">
      <c r="A53" s="6" t="inlineStr">
        <is>
          <t>pay_鯉_4</t>
        </is>
      </c>
      <c r="B53" s="6" t="inlineStr">
        <is>
          <t>「鯉」4 連賠率（× 線注）</t>
        </is>
      </c>
      <c r="C53" s="14" t="n">
        <v>250</v>
      </c>
      <c r="D53" s="14" t="n">
        <v>250</v>
      </c>
      <c r="E53" s="14" t="n">
        <v>250</v>
      </c>
      <c r="F53" s="6">
        <f>IF(D53=C53,"一致","不一致")</f>
        <v/>
      </c>
      <c r="G53" s="6">
        <f>IF(E53=C53,"一致","不一致")</f>
        <v/>
      </c>
    </row>
    <row r="54">
      <c r="A54" s="6" t="inlineStr">
        <is>
          <t>pay_鯉_5</t>
        </is>
      </c>
      <c r="B54" s="6" t="inlineStr">
        <is>
          <t>「鯉」5 連賠率（× 線注）</t>
        </is>
      </c>
      <c r="C54" s="14" t="n">
        <v>1250</v>
      </c>
      <c r="D54" s="14" t="n">
        <v>1250</v>
      </c>
      <c r="E54" s="14" t="n">
        <v>1250</v>
      </c>
      <c r="F54" s="6">
        <f>IF(D54=C54,"一致","不一致")</f>
        <v/>
      </c>
      <c r="G54" s="6">
        <f>IF(E54=C54,"一致","不一致")</f>
        <v/>
      </c>
    </row>
    <row r="55">
      <c r="A55" s="6" t="inlineStr">
        <is>
          <t>pay_寶_3</t>
        </is>
      </c>
      <c r="B55" s="6" t="inlineStr">
        <is>
          <t>「寶」3 連賠率（× 線注）</t>
        </is>
      </c>
      <c r="C55" s="14" t="n">
        <v>50</v>
      </c>
      <c r="D55" s="14" t="n">
        <v>50</v>
      </c>
      <c r="E55" s="14" t="n">
        <v>50</v>
      </c>
      <c r="F55" s="6">
        <f>IF(D55=C55,"一致","不一致")</f>
        <v/>
      </c>
      <c r="G55" s="6">
        <f>IF(E55=C55,"一致","不一致")</f>
        <v/>
      </c>
    </row>
    <row r="56">
      <c r="A56" s="6" t="inlineStr">
        <is>
          <t>pay_寶_4</t>
        </is>
      </c>
      <c r="B56" s="6" t="inlineStr">
        <is>
          <t>「寶」4 連賠率（× 線注）</t>
        </is>
      </c>
      <c r="C56" s="14" t="n">
        <v>200</v>
      </c>
      <c r="D56" s="14" t="n">
        <v>200</v>
      </c>
      <c r="E56" s="14" t="n">
        <v>200</v>
      </c>
      <c r="F56" s="6">
        <f>IF(D56=C56,"一致","不一致")</f>
        <v/>
      </c>
      <c r="G56" s="6">
        <f>IF(E56=C56,"一致","不一致")</f>
        <v/>
      </c>
    </row>
    <row r="57">
      <c r="A57" s="6" t="inlineStr">
        <is>
          <t>pay_寶_5</t>
        </is>
      </c>
      <c r="B57" s="6" t="inlineStr">
        <is>
          <t>「寶」5 連賠率（× 線注）</t>
        </is>
      </c>
      <c r="C57" s="14" t="n">
        <v>1000</v>
      </c>
      <c r="D57" s="14" t="n">
        <v>1000</v>
      </c>
      <c r="E57" s="14" t="n">
        <v>1000</v>
      </c>
      <c r="F57" s="6">
        <f>IF(D57=C57,"一致","不一致")</f>
        <v/>
      </c>
      <c r="G57" s="6">
        <f>IF(E57=C57,"一致","不一致")</f>
        <v/>
      </c>
    </row>
    <row r="58">
      <c r="A58" s="6" t="inlineStr">
        <is>
          <t>pay_意_3</t>
        </is>
      </c>
      <c r="B58" s="6" t="inlineStr">
        <is>
          <t>「意」3 連賠率（× 線注）</t>
        </is>
      </c>
      <c r="C58" s="14" t="n">
        <v>30</v>
      </c>
      <c r="D58" s="14" t="n">
        <v>30</v>
      </c>
      <c r="E58" s="14" t="n">
        <v>30</v>
      </c>
      <c r="F58" s="6">
        <f>IF(D58=C58,"一致","不一致")</f>
        <v/>
      </c>
      <c r="G58" s="6">
        <f>IF(E58=C58,"一致","不一致")</f>
        <v/>
      </c>
    </row>
    <row r="59">
      <c r="A59" s="6" t="inlineStr">
        <is>
          <t>pay_意_4</t>
        </is>
      </c>
      <c r="B59" s="6" t="inlineStr">
        <is>
          <t>「意」4 連賠率（× 線注）</t>
        </is>
      </c>
      <c r="C59" s="14" t="n">
        <v>125</v>
      </c>
      <c r="D59" s="14" t="n">
        <v>125</v>
      </c>
      <c r="E59" s="14" t="n">
        <v>125</v>
      </c>
      <c r="F59" s="6">
        <f>IF(D59=C59,"一致","不一致")</f>
        <v/>
      </c>
      <c r="G59" s="6">
        <f>IF(E59=C59,"一致","不一致")</f>
        <v/>
      </c>
    </row>
    <row r="60">
      <c r="A60" s="6" t="inlineStr">
        <is>
          <t>pay_意_5</t>
        </is>
      </c>
      <c r="B60" s="6" t="inlineStr">
        <is>
          <t>「意」5 連賠率（× 線注）</t>
        </is>
      </c>
      <c r="C60" s="14" t="n">
        <v>500</v>
      </c>
      <c r="D60" s="14" t="n">
        <v>500</v>
      </c>
      <c r="E60" s="14" t="n">
        <v>500</v>
      </c>
      <c r="F60" s="6">
        <f>IF(D60=C60,"一致","不一致")</f>
        <v/>
      </c>
      <c r="G60" s="6">
        <f>IF(E60=C60,"一致","不一致")</f>
        <v/>
      </c>
    </row>
    <row r="61">
      <c r="A61" s="6" t="inlineStr">
        <is>
          <t>pay_燈_3</t>
        </is>
      </c>
      <c r="B61" s="6" t="inlineStr">
        <is>
          <t>「燈」3 連賠率（× 線注）</t>
        </is>
      </c>
      <c r="C61" s="14" t="n">
        <v>20</v>
      </c>
      <c r="D61" s="14" t="n">
        <v>20</v>
      </c>
      <c r="E61" s="14" t="n">
        <v>20</v>
      </c>
      <c r="F61" s="6">
        <f>IF(D61=C61,"一致","不一致")</f>
        <v/>
      </c>
      <c r="G61" s="6">
        <f>IF(E61=C61,"一致","不一致")</f>
        <v/>
      </c>
    </row>
    <row r="62">
      <c r="A62" s="6" t="inlineStr">
        <is>
          <t>pay_燈_4</t>
        </is>
      </c>
      <c r="B62" s="6" t="inlineStr">
        <is>
          <t>「燈」4 連賠率（× 線注）</t>
        </is>
      </c>
      <c r="C62" s="14" t="n">
        <v>75</v>
      </c>
      <c r="D62" s="14" t="n">
        <v>75</v>
      </c>
      <c r="E62" s="14" t="n">
        <v>75</v>
      </c>
      <c r="F62" s="6">
        <f>IF(D62=C62,"一致","不一致")</f>
        <v/>
      </c>
      <c r="G62" s="6">
        <f>IF(E62=C62,"一致","不一致")</f>
        <v/>
      </c>
    </row>
    <row r="63">
      <c r="A63" s="6" t="inlineStr">
        <is>
          <t>pay_燈_5</t>
        </is>
      </c>
      <c r="B63" s="6" t="inlineStr">
        <is>
          <t>「燈」5 連賠率（× 線注）</t>
        </is>
      </c>
      <c r="C63" s="14" t="n">
        <v>300</v>
      </c>
      <c r="D63" s="14" t="n">
        <v>300</v>
      </c>
      <c r="E63" s="14" t="n">
        <v>300</v>
      </c>
      <c r="F63" s="6">
        <f>IF(D63=C63,"一致","不一致")</f>
        <v/>
      </c>
      <c r="G63" s="6">
        <f>IF(E63=C63,"一致","不一致")</f>
        <v/>
      </c>
    </row>
    <row r="64">
      <c r="A64" s="6" t="inlineStr">
        <is>
          <t>pay_錢_3</t>
        </is>
      </c>
      <c r="B64" s="6" t="inlineStr">
        <is>
          <t>「錢」3 連賠率（× 線注）</t>
        </is>
      </c>
      <c r="C64" s="14" t="n">
        <v>15</v>
      </c>
      <c r="D64" s="14" t="n">
        <v>15</v>
      </c>
      <c r="E64" s="14" t="n">
        <v>15</v>
      </c>
      <c r="F64" s="6">
        <f>IF(D64=C64,"一致","不一致")</f>
        <v/>
      </c>
      <c r="G64" s="6">
        <f>IF(E64=C64,"一致","不一致")</f>
        <v/>
      </c>
    </row>
    <row r="65">
      <c r="A65" s="6" t="inlineStr">
        <is>
          <t>pay_錢_4</t>
        </is>
      </c>
      <c r="B65" s="6" t="inlineStr">
        <is>
          <t>「錢」4 連賠率（× 線注）</t>
        </is>
      </c>
      <c r="C65" s="14" t="n">
        <v>60</v>
      </c>
      <c r="D65" s="14" t="n">
        <v>60</v>
      </c>
      <c r="E65" s="14" t="n">
        <v>60</v>
      </c>
      <c r="F65" s="6">
        <f>IF(D65=C65,"一致","不一致")</f>
        <v/>
      </c>
      <c r="G65" s="6">
        <f>IF(E65=C65,"一致","不一致")</f>
        <v/>
      </c>
    </row>
    <row r="66">
      <c r="A66" s="6" t="inlineStr">
        <is>
          <t>pay_錢_5</t>
        </is>
      </c>
      <c r="B66" s="6" t="inlineStr">
        <is>
          <t>「錢」5 連賠率（× 線注）</t>
        </is>
      </c>
      <c r="C66" s="14" t="n">
        <v>250</v>
      </c>
      <c r="D66" s="14" t="n">
        <v>250</v>
      </c>
      <c r="E66" s="14" t="n">
        <v>250</v>
      </c>
      <c r="F66" s="6">
        <f>IF(D66=C66,"一致","不一致")</f>
        <v/>
      </c>
      <c r="G66" s="6">
        <f>IF(E66=C66,"一致","不一致")</f>
        <v/>
      </c>
    </row>
    <row r="67">
      <c r="A67" s="6" t="inlineStr">
        <is>
          <t>pay_A_3</t>
        </is>
      </c>
      <c r="B67" s="6" t="inlineStr">
        <is>
          <t>「A」3 連賠率（× 線注）</t>
        </is>
      </c>
      <c r="C67" s="14" t="n">
        <v>10</v>
      </c>
      <c r="D67" s="14" t="n">
        <v>10</v>
      </c>
      <c r="E67" s="14" t="n">
        <v>10</v>
      </c>
      <c r="F67" s="6">
        <f>IF(D67=C67,"一致","不一致")</f>
        <v/>
      </c>
      <c r="G67" s="6">
        <f>IF(E67=C67,"一致","不一致")</f>
        <v/>
      </c>
    </row>
    <row r="68">
      <c r="A68" s="6" t="inlineStr">
        <is>
          <t>pay_A_4</t>
        </is>
      </c>
      <c r="B68" s="6" t="inlineStr">
        <is>
          <t>「A」4 連賠率（× 線注）</t>
        </is>
      </c>
      <c r="C68" s="14" t="n">
        <v>30</v>
      </c>
      <c r="D68" s="14" t="n">
        <v>30</v>
      </c>
      <c r="E68" s="14" t="n">
        <v>30</v>
      </c>
      <c r="F68" s="6">
        <f>IF(D68=C68,"一致","不一致")</f>
        <v/>
      </c>
      <c r="G68" s="6">
        <f>IF(E68=C68,"一致","不一致")</f>
        <v/>
      </c>
    </row>
    <row r="69">
      <c r="A69" s="6" t="inlineStr">
        <is>
          <t>pay_A_5</t>
        </is>
      </c>
      <c r="B69" s="6" t="inlineStr">
        <is>
          <t>「A」5 連賠率（× 線注）</t>
        </is>
      </c>
      <c r="C69" s="14" t="n">
        <v>125</v>
      </c>
      <c r="D69" s="14" t="n">
        <v>125</v>
      </c>
      <c r="E69" s="14" t="n">
        <v>125</v>
      </c>
      <c r="F69" s="6">
        <f>IF(D69=C69,"一致","不一致")</f>
        <v/>
      </c>
      <c r="G69" s="6">
        <f>IF(E69=C69,"一致","不一致")</f>
        <v/>
      </c>
    </row>
    <row r="70">
      <c r="A70" s="6" t="inlineStr">
        <is>
          <t>pay_K_3</t>
        </is>
      </c>
      <c r="B70" s="6" t="inlineStr">
        <is>
          <t>「K」3 連賠率（× 線注）</t>
        </is>
      </c>
      <c r="C70" s="14" t="n">
        <v>10</v>
      </c>
      <c r="D70" s="14" t="n">
        <v>10</v>
      </c>
      <c r="E70" s="14" t="n">
        <v>10</v>
      </c>
      <c r="F70" s="6">
        <f>IF(D70=C70,"一致","不一致")</f>
        <v/>
      </c>
      <c r="G70" s="6">
        <f>IF(E70=C70,"一致","不一致")</f>
        <v/>
      </c>
    </row>
    <row r="71">
      <c r="A71" s="6" t="inlineStr">
        <is>
          <t>pay_K_4</t>
        </is>
      </c>
      <c r="B71" s="6" t="inlineStr">
        <is>
          <t>「K」4 連賠率（× 線注）</t>
        </is>
      </c>
      <c r="C71" s="14" t="n">
        <v>25</v>
      </c>
      <c r="D71" s="14" t="n">
        <v>25</v>
      </c>
      <c r="E71" s="14" t="n">
        <v>25</v>
      </c>
      <c r="F71" s="6">
        <f>IF(D71=C71,"一致","不一致")</f>
        <v/>
      </c>
      <c r="G71" s="6">
        <f>IF(E71=C71,"一致","不一致")</f>
        <v/>
      </c>
    </row>
    <row r="72">
      <c r="A72" s="6" t="inlineStr">
        <is>
          <t>pay_K_5</t>
        </is>
      </c>
      <c r="B72" s="6" t="inlineStr">
        <is>
          <t>「K」5 連賠率（× 線注）</t>
        </is>
      </c>
      <c r="C72" s="14" t="n">
        <v>100</v>
      </c>
      <c r="D72" s="14" t="n">
        <v>100</v>
      </c>
      <c r="E72" s="14" t="n">
        <v>100</v>
      </c>
      <c r="F72" s="6">
        <f>IF(D72=C72,"一致","不一致")</f>
        <v/>
      </c>
      <c r="G72" s="6">
        <f>IF(E72=C72,"一致","不一致")</f>
        <v/>
      </c>
    </row>
    <row r="73">
      <c r="A73" s="6" t="inlineStr">
        <is>
          <t>pay_Q_3</t>
        </is>
      </c>
      <c r="B73" s="6" t="inlineStr">
        <is>
          <t>「Q」3 連賠率（× 線注）</t>
        </is>
      </c>
      <c r="C73" s="14" t="n">
        <v>8</v>
      </c>
      <c r="D73" s="14" t="n">
        <v>8</v>
      </c>
      <c r="E73" s="14" t="n">
        <v>8</v>
      </c>
      <c r="F73" s="6">
        <f>IF(D73=C73,"一致","不一致")</f>
        <v/>
      </c>
      <c r="G73" s="6">
        <f>IF(E73=C73,"一致","不一致")</f>
        <v/>
      </c>
    </row>
    <row r="74">
      <c r="A74" s="6" t="inlineStr">
        <is>
          <t>pay_Q_4</t>
        </is>
      </c>
      <c r="B74" s="6" t="inlineStr">
        <is>
          <t>「Q」4 連賠率（× 線注）</t>
        </is>
      </c>
      <c r="C74" s="14" t="n">
        <v>20</v>
      </c>
      <c r="D74" s="14" t="n">
        <v>20</v>
      </c>
      <c r="E74" s="14" t="n">
        <v>20</v>
      </c>
      <c r="F74" s="6">
        <f>IF(D74=C74,"一致","不一致")</f>
        <v/>
      </c>
      <c r="G74" s="6">
        <f>IF(E74=C74,"一致","不一致")</f>
        <v/>
      </c>
    </row>
    <row r="75">
      <c r="A75" s="6" t="inlineStr">
        <is>
          <t>pay_Q_5</t>
        </is>
      </c>
      <c r="B75" s="6" t="inlineStr">
        <is>
          <t>「Q」5 連賠率（× 線注）</t>
        </is>
      </c>
      <c r="C75" s="14" t="n">
        <v>75</v>
      </c>
      <c r="D75" s="14" t="n">
        <v>75</v>
      </c>
      <c r="E75" s="14" t="n">
        <v>75</v>
      </c>
      <c r="F75" s="6">
        <f>IF(D75=C75,"一致","不一致")</f>
        <v/>
      </c>
      <c r="G75" s="6">
        <f>IF(E75=C75,"一致","不一致")</f>
        <v/>
      </c>
    </row>
    <row r="76">
      <c r="A76" s="6" t="inlineStr">
        <is>
          <t>pay_J_3</t>
        </is>
      </c>
      <c r="B76" s="6" t="inlineStr">
        <is>
          <t>「J」3 連賠率（× 線注）</t>
        </is>
      </c>
      <c r="C76" s="14" t="n">
        <v>6</v>
      </c>
      <c r="D76" s="14" t="n">
        <v>6</v>
      </c>
      <c r="E76" s="14" t="n">
        <v>6</v>
      </c>
      <c r="F76" s="6">
        <f>IF(D76=C76,"一致","不一致")</f>
        <v/>
      </c>
      <c r="G76" s="6">
        <f>IF(E76=C76,"一致","不一致")</f>
        <v/>
      </c>
    </row>
    <row r="77">
      <c r="A77" s="6" t="inlineStr">
        <is>
          <t>pay_J_4</t>
        </is>
      </c>
      <c r="B77" s="6" t="inlineStr">
        <is>
          <t>「J」4 連賠率（× 線注）</t>
        </is>
      </c>
      <c r="C77" s="14" t="n">
        <v>20</v>
      </c>
      <c r="D77" s="14" t="n">
        <v>20</v>
      </c>
      <c r="E77" s="14" t="n">
        <v>20</v>
      </c>
      <c r="F77" s="6">
        <f>IF(D77=C77,"一致","不一致")</f>
        <v/>
      </c>
      <c r="G77" s="6">
        <f>IF(E77=C77,"一致","不一致")</f>
        <v/>
      </c>
    </row>
    <row r="78">
      <c r="A78" s="6" t="inlineStr">
        <is>
          <t>pay_J_5</t>
        </is>
      </c>
      <c r="B78" s="6" t="inlineStr">
        <is>
          <t>「J」5 連賠率（× 線注）</t>
        </is>
      </c>
      <c r="C78" s="14" t="n">
        <v>60</v>
      </c>
      <c r="D78" s="14" t="n">
        <v>60</v>
      </c>
      <c r="E78" s="14" t="n">
        <v>60</v>
      </c>
      <c r="F78" s="6">
        <f>IF(D78=C78,"一致","不一致")</f>
        <v/>
      </c>
      <c r="G78" s="6">
        <f>IF(E78=C78,"一致","不一致")</f>
        <v/>
      </c>
    </row>
    <row r="79">
      <c r="A79" s="6" t="inlineStr">
        <is>
          <t>scatter_3</t>
        </is>
      </c>
      <c r="B79" s="6" t="inlineStr">
        <is>
          <t>3 個「門」賠付（× 總押注）</t>
        </is>
      </c>
      <c r="C79" s="14" t="n">
        <v>2</v>
      </c>
      <c r="D79" s="14" t="n">
        <v>2</v>
      </c>
      <c r="E79" s="14" t="n">
        <v>2</v>
      </c>
      <c r="F79" s="6">
        <f>IF(D79=C79,"一致","不一致")</f>
        <v/>
      </c>
      <c r="G79" s="6">
        <f>IF(E79=C79,"一致","不一致")</f>
        <v/>
      </c>
    </row>
    <row r="80">
      <c r="A80" s="6" t="inlineStr">
        <is>
          <t>scatter_4</t>
        </is>
      </c>
      <c r="B80" s="6" t="inlineStr">
        <is>
          <t>4 個「門」賠付（× 總押注）</t>
        </is>
      </c>
      <c r="C80" s="14" t="n">
        <v>10</v>
      </c>
      <c r="D80" s="14" t="n">
        <v>10</v>
      </c>
      <c r="E80" s="14" t="n">
        <v>10</v>
      </c>
      <c r="F80" s="6">
        <f>IF(D80=C80,"一致","不一致")</f>
        <v/>
      </c>
      <c r="G80" s="6">
        <f>IF(E80=C80,"一致","不一致")</f>
        <v/>
      </c>
    </row>
    <row r="81">
      <c r="A81" s="6" t="inlineStr">
        <is>
          <t>scatter_5</t>
        </is>
      </c>
      <c r="B81" s="6" t="inlineStr">
        <is>
          <t>5 個「門」賠付（× 總押注）</t>
        </is>
      </c>
      <c r="C81" s="14" t="n">
        <v>50</v>
      </c>
      <c r="D81" s="14" t="n">
        <v>50</v>
      </c>
      <c r="E81" s="14" t="n">
        <v>50</v>
      </c>
      <c r="F81" s="6">
        <f>IF(D81=C81,"一致","不一致")</f>
        <v/>
      </c>
      <c r="G81" s="6">
        <f>IF(E81=C81,"一致","不一致")</f>
        <v/>
      </c>
    </row>
    <row r="82">
      <c r="A82" s="6" t="inlineStr">
        <is>
          <t>fg_spins</t>
        </is>
      </c>
      <c r="B82" s="6" t="inlineStr">
        <is>
          <t>每次觸發免費場次</t>
        </is>
      </c>
      <c r="C82" s="14" t="n">
        <v>10</v>
      </c>
      <c r="D82" s="14" t="n">
        <v>10</v>
      </c>
      <c r="E82" s="14" t="n">
        <v>10</v>
      </c>
      <c r="F82" s="6">
        <f>IF(D82=C82,"一致","不一致")</f>
        <v/>
      </c>
      <c r="G82" s="6">
        <f>IF(E82=C82,"一致","不一致")</f>
        <v/>
      </c>
    </row>
    <row r="83">
      <c r="A83" s="6" t="inlineStr">
        <is>
          <t>fg_mult</t>
        </is>
      </c>
      <c r="B83" s="6" t="inlineStr">
        <is>
          <t>免費遊戲贏分倍數</t>
        </is>
      </c>
      <c r="C83" s="14" t="n">
        <v>2</v>
      </c>
      <c r="D83" s="14" t="n">
        <v>3</v>
      </c>
      <c r="E83" s="14" t="n">
        <v>2</v>
      </c>
      <c r="F83" s="6">
        <f>IF(D83=C83,"一致","不一致")</f>
        <v/>
      </c>
      <c r="G83" s="6">
        <f>IF(E83=C83,"一致","不一致")</f>
        <v/>
      </c>
    </row>
    <row r="84">
      <c r="A84" s="3" t="inlineStr">
        <is>
          <t>不一致項目數</t>
        </is>
      </c>
      <c r="B84" s="15" t="n"/>
      <c r="C84" s="15" t="n"/>
      <c r="D84" s="15" t="n"/>
      <c r="E84" s="15" t="n"/>
      <c r="F84" s="16">
        <f>COUNTIF(F2:F83,"不一致")</f>
        <v/>
      </c>
      <c r="G84" s="16">
        <f>COUNTIF(G2:G83,"不一致")</f>
        <v/>
      </c>
    </row>
    <row r="86">
      <c r="A86" s="2" t="inlineStr">
        <is>
          <t>資料來源：jinli.db 的 config_par（數值規格表）與 config_build（開發匯出的實際設定）；也可用 queries.sql [Q07] 直接列出不一致項目。</t>
        </is>
      </c>
    </row>
  </sheetData>
  <autoFilter ref="A1:G83"/>
  <conditionalFormatting sqref="A2:G83">
    <cfRule type="expression" priority="1" dxfId="1">
      <formula>OR($F2="不一致",$G2="不一致")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16" customWidth="1" min="3" max="3"/>
    <col width="18" customWidth="1" min="4" max="4"/>
  </cols>
  <sheetData>
    <row r="1">
      <c r="A1" s="1" t="inlineStr">
        <is>
          <t>數學驗收：100 萬轉模擬 vs 數值規格表理論值</t>
        </is>
      </c>
    </row>
    <row r="3" ht="30" customHeight="1">
      <c r="A3" s="10" t="inlineStr">
        <is>
          <t>項目</t>
        </is>
      </c>
      <c r="B3" s="10" t="inlineStr">
        <is>
          <t>說明</t>
        </is>
      </c>
      <c r="C3" s="10" t="inlineStr">
        <is>
          <t>v1.3.1</t>
        </is>
      </c>
      <c r="D3" s="10" t="inlineStr">
        <is>
          <t>v1.3（事後重跑）</t>
        </is>
      </c>
    </row>
    <row r="4">
      <c r="A4" s="5" t="inlineStr">
        <is>
          <t>模擬轉數</t>
        </is>
      </c>
      <c r="B4" s="17" t="inlineStr">
        <is>
          <t>每線押 1，總押注 20</t>
        </is>
      </c>
      <c r="C4" s="18" t="n">
        <v>1000000</v>
      </c>
      <c r="D4" s="18" t="n">
        <v>1000000</v>
      </c>
    </row>
    <row r="5">
      <c r="A5" s="5" t="inlineStr">
        <is>
          <t>總押注</t>
        </is>
      </c>
      <c r="B5" s="17" t="inlineStr">
        <is>
          <t>轉數 × 20</t>
        </is>
      </c>
      <c r="C5" s="7">
        <f>C4*20</f>
        <v/>
      </c>
      <c r="D5" s="7">
        <f>D4*20</f>
        <v/>
      </c>
    </row>
    <row r="6">
      <c r="A6" s="5" t="inlineStr">
        <is>
          <t>總派彩</t>
        </is>
      </c>
      <c r="B6" s="17" t="inlineStr">
        <is>
          <t>含免費遊戲贏分</t>
        </is>
      </c>
      <c r="C6" s="18" t="n">
        <v>19395104</v>
      </c>
      <c r="D6" s="18" t="n">
        <v>22102328</v>
      </c>
    </row>
    <row r="7">
      <c r="A7" s="5" t="inlineStr">
        <is>
          <t>觸發次數</t>
        </is>
      </c>
      <c r="B7" s="17" t="inlineStr">
        <is>
          <t>主遊戲觸發免費遊戲的次數</t>
        </is>
      </c>
      <c r="C7" s="18" t="n">
        <v>14632</v>
      </c>
      <c r="D7" s="18" t="n">
        <v>14828</v>
      </c>
    </row>
    <row r="8">
      <c r="A8" s="5" t="inlineStr">
        <is>
          <t>免費遊戲總場次</t>
        </is>
      </c>
      <c r="B8" s="17" t="inlineStr">
        <is>
          <t>含再觸發</t>
        </is>
      </c>
      <c r="C8" s="18" t="n">
        <v>172250</v>
      </c>
      <c r="D8" s="18" t="n">
        <v>174120</v>
      </c>
    </row>
    <row r="9">
      <c r="A9" s="5" t="inlineStr">
        <is>
          <t>理論 RTP</t>
        </is>
      </c>
      <c r="B9" s="17" t="inlineStr">
        <is>
          <t>數值規格表</t>
        </is>
      </c>
      <c r="C9" s="19" t="n">
        <v>0.9697480000000001</v>
      </c>
      <c r="D9" s="19" t="n">
        <v>0.9697480000000001</v>
      </c>
    </row>
    <row r="10">
      <c r="A10" s="5" t="inlineStr">
        <is>
          <t>單局標準差 σ</t>
        </is>
      </c>
      <c r="B10" s="17" t="inlineStr">
        <is>
          <t>數值規格表（× 總押注）</t>
        </is>
      </c>
      <c r="C10" s="20" t="n">
        <v>3.6796</v>
      </c>
      <c r="D10" s="20" t="n">
        <v>3.6796</v>
      </c>
    </row>
    <row r="11">
      <c r="A11" s="5" t="inlineStr">
        <is>
          <t>理論觸發率</t>
        </is>
      </c>
      <c r="B11" s="17" t="inlineStr">
        <is>
          <t>數值規格表</t>
        </is>
      </c>
      <c r="C11" s="21" t="n">
        <v>0.014685</v>
      </c>
      <c r="D11" s="21" t="n">
        <v>0.014685</v>
      </c>
    </row>
    <row r="12">
      <c r="A12" s="5" t="inlineStr">
        <is>
          <t>理論平均免費場次</t>
        </is>
      </c>
      <c r="B12" s="17" t="inlineStr">
        <is>
          <t>F ÷ (1 − F·p)</t>
        </is>
      </c>
      <c r="C12" s="22" t="n">
        <v>11.7213</v>
      </c>
      <c r="D12" s="22" t="n">
        <v>11.7213</v>
      </c>
    </row>
    <row r="13">
      <c r="A13" s="5" t="inlineStr">
        <is>
          <t>實際 RTP</t>
        </is>
      </c>
      <c r="B13" s="17" t="inlineStr">
        <is>
          <t>總派彩 ÷ 總投注</t>
        </is>
      </c>
      <c r="C13" s="8">
        <f>C6/C5</f>
        <v/>
      </c>
      <c r="D13" s="8">
        <f>D6/D5</f>
        <v/>
      </c>
    </row>
    <row r="14">
      <c r="A14" s="5" t="inlineStr">
        <is>
          <t>標準誤</t>
        </is>
      </c>
      <c r="B14" s="17" t="inlineStr">
        <is>
          <t>σ ÷ √轉數</t>
        </is>
      </c>
      <c r="C14" s="23">
        <f>C10/SQRT(C4)</f>
        <v/>
      </c>
      <c r="D14" s="23">
        <f>D10/SQRT(D4)</f>
        <v/>
      </c>
    </row>
    <row r="15">
      <c r="A15" s="5" t="inlineStr">
        <is>
          <t>RTP z 值</t>
        </is>
      </c>
      <c r="B15" s="17" t="inlineStr">
        <is>
          <t>(實際 − 理論) ÷ 標準誤</t>
        </is>
      </c>
      <c r="C15" s="24">
        <f>(C13-C9)/C14</f>
        <v/>
      </c>
      <c r="D15" s="24">
        <f>(D13-D9)/D14</f>
        <v/>
      </c>
    </row>
    <row r="16">
      <c r="A16" s="5" t="inlineStr">
        <is>
          <t>RTP 判定</t>
        </is>
      </c>
      <c r="B16" s="17" t="inlineStr">
        <is>
          <t>|z| ≤ 3 為通過</t>
        </is>
      </c>
      <c r="C16" s="5">
        <f>IF(ABS(C15)&lt;=3,"通過","不通過")</f>
        <v/>
      </c>
      <c r="D16" s="5">
        <f>IF(ABS(D15)&lt;=3,"通過","不通過")</f>
        <v/>
      </c>
    </row>
    <row r="17">
      <c r="A17" s="5" t="inlineStr">
        <is>
          <t>95% 信賴區間</t>
        </is>
      </c>
      <c r="B17" s="17" t="inlineStr">
        <is>
          <t>實際 RTP ± 1.96 × 標準誤</t>
        </is>
      </c>
      <c r="C17" s="6">
        <f>TEXT(C13-1.96*C14,"0.00%")&amp;" ～ "&amp;TEXT(C13+1.96*C14,"0.00%")</f>
        <v/>
      </c>
      <c r="D17" s="6">
        <f>TEXT(D13-1.96*D14,"0.00%")&amp;" ～ "&amp;TEXT(D13+1.96*D14,"0.00%")</f>
        <v/>
      </c>
    </row>
    <row r="18">
      <c r="A18" s="5" t="inlineStr">
        <is>
          <t>實際觸發率</t>
        </is>
      </c>
      <c r="B18" s="17" t="inlineStr">
        <is>
          <t>觸發次數 ÷ 轉數</t>
        </is>
      </c>
      <c r="C18" s="23">
        <f>C7/C4</f>
        <v/>
      </c>
      <c r="D18" s="23">
        <f>D7/D4</f>
        <v/>
      </c>
    </row>
    <row r="19">
      <c r="A19" s="5" t="inlineStr">
        <is>
          <t>觸發次數 z 值</t>
        </is>
      </c>
      <c r="B19" s="17" t="inlineStr">
        <is>
          <t>(實際 − 期望) ÷ √期望（卜瓦松近似）</t>
        </is>
      </c>
      <c r="C19" s="24">
        <f>(C7-C4*C11)/SQRT(C4*C11)</f>
        <v/>
      </c>
      <c r="D19" s="24">
        <f>(D7-D4*D11)/SQRT(D4*D11)</f>
        <v/>
      </c>
    </row>
    <row r="20">
      <c r="A20" s="5" t="inlineStr">
        <is>
          <t>觸發判定</t>
        </is>
      </c>
      <c r="B20" s="17" t="inlineStr">
        <is>
          <t>|z| ≤ 3 為通過</t>
        </is>
      </c>
      <c r="C20" s="5">
        <f>IF(ABS(C19)&lt;=3,"通過","不通過")</f>
        <v/>
      </c>
      <c r="D20" s="5">
        <f>IF(ABS(D19)&lt;=3,"通過","不通過")</f>
        <v/>
      </c>
    </row>
    <row r="21">
      <c r="A21" s="5" t="inlineStr">
        <is>
          <t>實際平均免費場次</t>
        </is>
      </c>
      <c r="B21" s="17" t="inlineStr">
        <is>
          <t>免費總場次 ÷ 觸發次數</t>
        </is>
      </c>
      <c r="C21" s="24">
        <f>C8/C7</f>
        <v/>
      </c>
      <c r="D21" s="24">
        <f>D8/D7</f>
        <v/>
      </c>
    </row>
    <row r="23">
      <c r="A23" s="2" t="inlineStr">
        <is>
          <t>v1.3（事後重跑）：用 v1.3 的實際設定（免費倍數 ×3）重跑同樣的驗收，RTP 判定為不通過。代表若當時有做數學驗收，這個錯誤在上線前就能被擋下。</t>
        </is>
      </c>
    </row>
    <row r="24">
      <c r="A24" s="2" t="inlineStr">
        <is>
          <t>觸發率不受免費倍數影響，所以兩個版本的觸發判定都通過；問題只出現在 RTP。這跟營運資料 [Q06] 的發現一致。</t>
        </is>
      </c>
    </row>
  </sheetData>
  <conditionalFormatting sqref="C16:D16">
    <cfRule type="expression" priority="1" dxfId="1">
      <formula>C16="不通過"</formula>
    </cfRule>
    <cfRule type="expression" priority="2" dxfId="0">
      <formula>C16="通過"</formula>
    </cfRule>
  </conditionalFormatting>
  <conditionalFormatting sqref="C20:D20">
    <cfRule type="expression" priority="3" dxfId="1">
      <formula>C20="不通過"</formula>
    </cfRule>
    <cfRule type="expression" priority="4" dxfId="0">
      <formula>C20="通過"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9" customWidth="1" min="3" max="3"/>
    <col width="7" customWidth="1" min="4" max="4"/>
    <col width="11" customWidth="1" min="5" max="5"/>
    <col width="26" customWidth="1" min="6" max="6"/>
    <col width="30" customWidth="1" min="7" max="7"/>
    <col width="18" customWidth="1" min="8" max="8"/>
    <col width="18" customWidth="1" min="9" max="9"/>
    <col width="8" customWidth="1" min="10" max="10"/>
    <col width="9" customWidth="1" min="11" max="11"/>
    <col width="22" customWidth="1" min="12" max="12"/>
  </cols>
  <sheetData>
    <row r="1" ht="30" customHeight="1">
      <c r="A1" s="10" t="inlineStr">
        <is>
          <t>編號</t>
        </is>
      </c>
      <c r="B1" s="10" t="inlineStr">
        <is>
          <t>標題</t>
        </is>
      </c>
      <c r="C1" s="10" t="inlineStr">
        <is>
          <t>發現版本</t>
        </is>
      </c>
      <c r="D1" s="10" t="inlineStr">
        <is>
          <t>嚴重度</t>
        </is>
      </c>
      <c r="E1" s="10" t="inlineStr">
        <is>
          <t>發現日期</t>
        </is>
      </c>
      <c r="F1" s="10" t="inlineStr">
        <is>
          <t>發現方式</t>
        </is>
      </c>
      <c r="G1" s="10" t="inlineStr">
        <is>
          <t>重現步驟</t>
        </is>
      </c>
      <c r="H1" s="10" t="inlineStr">
        <is>
          <t>預期結果</t>
        </is>
      </c>
      <c r="I1" s="10" t="inlineStr">
        <is>
          <t>實際結果</t>
        </is>
      </c>
      <c r="J1" s="10" t="inlineStr">
        <is>
          <t>狀態</t>
        </is>
      </c>
      <c r="K1" s="10" t="inlineStr">
        <is>
          <t>修正版本</t>
        </is>
      </c>
      <c r="L1" s="10" t="inlineStr">
        <is>
          <t>回歸結果</t>
        </is>
      </c>
    </row>
    <row r="2">
      <c r="A2" s="12" t="inlineStr">
        <is>
          <t>BUG-01</t>
        </is>
      </c>
      <c r="B2" s="12" t="inlineStr">
        <is>
          <t>免費遊戲贏分倍數誤設為 ×3</t>
        </is>
      </c>
      <c r="C2" s="12" t="inlineStr">
        <is>
          <t>v1.3</t>
        </is>
      </c>
      <c r="D2" s="12" t="inlineStr">
        <is>
          <t>高</t>
        </is>
      </c>
      <c r="E2" s="25" t="n">
        <v>46286</v>
      </c>
      <c r="F2" s="12" t="inlineStr">
        <is>
          <t>日報 9/21 z 檢定警示 → SQL [Q06] 免費遊戲平均贏分偏高 → [Q07] 設定核對</t>
        </is>
      </c>
      <c r="G2" s="12" t="inlineStr">
        <is>
          <t>觸發免費遊戲後，第 1 線出現 寶 寶 寶 J Q</t>
        </is>
      </c>
      <c r="H2" s="12" t="inlineStr">
        <is>
          <t>贏 100（50 × 2）</t>
        </is>
      </c>
      <c r="I2" s="12" t="inlineStr">
        <is>
          <t>贏 150（50 × 3）</t>
        </is>
      </c>
      <c r="J2" s="12" t="inlineStr">
        <is>
          <t>已關閉</t>
        </is>
      </c>
      <c r="K2" s="12" t="inlineStr">
        <is>
          <t>v1.3.1</t>
        </is>
      </c>
      <c r="L2" s="12" t="inlineStr">
        <is>
          <t>9/25 回歸通過（TC-003、018、020、030）</t>
        </is>
      </c>
    </row>
    <row r="3">
      <c r="A3" s="12" t="inlineStr">
        <is>
          <t>BUG-02</t>
        </is>
      </c>
      <c r="B3" s="12" t="inlineStr">
        <is>
          <t>餘額未顯示千分位</t>
        </is>
      </c>
      <c r="C3" s="12" t="inlineStr">
        <is>
          <t>v1.3.1</t>
        </is>
      </c>
      <c r="D3" s="12" t="inlineStr">
        <is>
          <t>低</t>
        </is>
      </c>
      <c r="E3" s="25" t="n">
        <v>46290</v>
      </c>
      <c r="F3" s="12" t="inlineStr">
        <is>
          <t>驗收 TC-026</t>
        </is>
      </c>
      <c r="G3" s="12" t="inlineStr">
        <is>
          <t>餘額 10,000 時查看餘額欄</t>
        </is>
      </c>
      <c r="H3" s="12" t="inlineStr">
        <is>
          <t>顯示 10,000</t>
        </is>
      </c>
      <c r="I3" s="12" t="inlineStr">
        <is>
          <t>顯示 10000</t>
        </is>
      </c>
      <c r="J3" s="12" t="inlineStr">
        <is>
          <t>待修</t>
        </is>
      </c>
      <c r="K3" s="12" t="inlineStr"/>
      <c r="L3" s="12" t="inlineStr"/>
    </row>
    <row r="52">
      <c r="A52" s="2" t="inlineStr">
        <is>
          <t>嚴重度：高 = 影響金額或機率，不可上線；中 = 功能異常但不影響金額；低 = 文字、排版等。</t>
        </is>
      </c>
    </row>
  </sheetData>
  <conditionalFormatting sqref="A2:L50">
    <cfRule type="expression" priority="1" dxfId="1">
      <formula>AND($D2="高",$J2&lt;&gt;"已關閉")</formula>
    </cfRule>
  </conditionalFormatting>
  <dataValidations count="2">
    <dataValidation sqref="D2:D50" showDropDown="0" showInputMessage="0" showErrorMessage="0" allowBlank="1" type="list">
      <formula1>"高,中,低"</formula1>
    </dataValidation>
    <dataValidation sqref="J2:J50" showDropDown="0" showInputMessage="0" showErrorMessage="0" allowBlank="1" type="list">
      <formula1>"待修,修正中,待驗證,已關閉"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46" customWidth="1" min="4" max="4"/>
  </cols>
  <sheetData>
    <row r="1">
      <c r="A1" s="1" t="inlineStr">
        <is>
          <t>BUG-01 回歸測試（v1.3.1）</t>
        </is>
      </c>
    </row>
    <row r="2">
      <c r="A2" s="2" t="inlineStr">
        <is>
          <t>修正免費遊戲倍數後，重測原本失敗的案例，以及所有可能受影響的免費遊戲相關案例</t>
        </is>
      </c>
    </row>
    <row r="4" ht="30" customHeight="1">
      <c r="A4" s="10" t="inlineStr">
        <is>
          <t>案例</t>
        </is>
      </c>
      <c r="B4" s="10" t="inlineStr">
        <is>
          <t>測試項目</t>
        </is>
      </c>
      <c r="C4" s="10" t="inlineStr">
        <is>
          <t>結果（引用測試案例）</t>
        </is>
      </c>
      <c r="D4" s="10" t="inlineStr">
        <is>
          <t>重測原因</t>
        </is>
      </c>
    </row>
    <row r="5">
      <c r="A5" s="6" t="inlineStr">
        <is>
          <t>TC-003</t>
        </is>
      </c>
      <c r="B5" s="6" t="inlineStr">
        <is>
          <t>分散賠付與免費遊戲設定一致</t>
        </is>
      </c>
      <c r="C5" s="9">
        <f>INDEX(測試案例!$H$2:$H$200,MATCH(A5,測試案例!$A$2:$A$200,0))</f>
        <v/>
      </c>
      <c r="D5" s="6" t="inlineStr">
        <is>
          <t>直接對應錯誤的設定值</t>
        </is>
      </c>
    </row>
    <row r="6">
      <c r="A6" s="6" t="inlineStr">
        <is>
          <t>TC-017</t>
        </is>
      </c>
      <c r="B6" s="6" t="inlineStr">
        <is>
          <t>免費場次</t>
        </is>
      </c>
      <c r="C6" s="9">
        <f>INDEX(測試案例!$H$2:$H$200,MATCH(A6,測試案例!$A$2:$A$200,0))</f>
        <v/>
      </c>
      <c r="D6" s="6" t="inlineStr">
        <is>
          <t>同屬免費遊戲設定</t>
        </is>
      </c>
    </row>
    <row r="7">
      <c r="A7" s="6" t="inlineStr">
        <is>
          <t>TC-018</t>
        </is>
      </c>
      <c r="B7" s="6" t="inlineStr">
        <is>
          <t>免費遊戲贏分倍數</t>
        </is>
      </c>
      <c r="C7" s="9">
        <f>INDEX(測試案例!$H$2:$H$200,MATCH(A7,測試案例!$A$2:$A$200,0))</f>
        <v/>
      </c>
      <c r="D7" s="6" t="inlineStr">
        <is>
          <t>原本失敗的案例</t>
        </is>
      </c>
    </row>
    <row r="8">
      <c r="A8" s="6" t="inlineStr">
        <is>
          <t>TC-019</t>
        </is>
      </c>
      <c r="B8" s="6" t="inlineStr">
        <is>
          <t>免費遊戲中再觸發</t>
        </is>
      </c>
      <c r="C8" s="9">
        <f>INDEX(測試案例!$H$2:$H$200,MATCH(A8,測試案例!$A$2:$A$200,0))</f>
        <v/>
      </c>
      <c r="D8" s="6" t="inlineStr">
        <is>
          <t>免費遊戲流程可能受影響</t>
        </is>
      </c>
    </row>
    <row r="9">
      <c r="A9" s="6" t="inlineStr">
        <is>
          <t>TC-020</t>
        </is>
      </c>
      <c r="B9" s="6" t="inlineStr">
        <is>
          <t>免費遊戲中分散賠付也乘倍數</t>
        </is>
      </c>
      <c r="C9" s="9">
        <f>INDEX(測試案例!$H$2:$H$200,MATCH(A9,測試案例!$A$2:$A$200,0))</f>
        <v/>
      </c>
      <c r="D9" s="6" t="inlineStr">
        <is>
          <t>倍數套用範圍</t>
        </is>
      </c>
    </row>
    <row r="10">
      <c r="A10" s="6" t="inlineStr">
        <is>
          <t>TC-030</t>
        </is>
      </c>
      <c r="B10" s="6" t="inlineStr">
        <is>
          <t>RTP 落在理論值 ±3 標準誤</t>
        </is>
      </c>
      <c r="C10" s="9">
        <f>INDEX(測試案例!$H$2:$H$200,MATCH(A10,測試案例!$A$2:$A$200,0))</f>
        <v/>
      </c>
      <c r="D10" s="6" t="inlineStr">
        <is>
          <t>倍數直接影響 RTP</t>
        </is>
      </c>
    </row>
    <row r="11">
      <c r="A11" s="6" t="inlineStr">
        <is>
          <t>TC-031</t>
        </is>
      </c>
      <c r="B11" s="6" t="inlineStr">
        <is>
          <t>免費遊戲觸發率與平均場次</t>
        </is>
      </c>
      <c r="C11" s="9">
        <f>INDEX(測試案例!$H$2:$H$200,MATCH(A11,測試案例!$A$2:$A$200,0))</f>
        <v/>
      </c>
      <c r="D11" s="6" t="inlineStr">
        <is>
          <t>確認修正沒有影響觸發邏輯</t>
        </is>
      </c>
    </row>
    <row r="13">
      <c r="A13" s="3" t="inlineStr">
        <is>
          <t>回歸結果</t>
        </is>
      </c>
      <c r="B13" s="3">
        <f>IF(COUNTIF(C5:C11,"通過")=7,"全部通過","有未通過項目")</f>
        <v/>
      </c>
    </row>
  </sheetData>
  <conditionalFormatting sqref="C5:C11">
    <cfRule type="expression" priority="1" dxfId="0">
      <formula>C5="通過"</formula>
    </cfRule>
    <cfRule type="expression" priority="2" dxfId="1">
      <formula>C5&lt;&gt;"通過"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2026-10-15T06:48:27Z</dcterms:created>
  <dcterms:modified xmlns:dcterms="http://purl.org/dc/terms/" xmlns:xsi="http://www.w3.org/2001/XMLSchema-instance" xsi:type="dcterms:W3CDTF">2026-10-15T06:48:32Z</dcterms:modified>
</cp:coreProperties>
</file>